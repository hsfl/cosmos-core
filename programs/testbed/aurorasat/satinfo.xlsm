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5" yWindow="165" windowWidth="23580" windowHeight="4980" tabRatio="650" activeTab="1"/>
  </bookViews>
  <sheets>
    <sheet name="sat" sheetId="1" r:id="rId1"/>
    <sheet name="gs" sheetId="7" r:id="rId2"/>
    <sheet name="part" sheetId="2" r:id="rId3"/>
    <sheet name="comp" sheetId="3" r:id="rId4"/>
    <sheet name="bus" sheetId="4" r:id="rId5"/>
    <sheet name="batt" sheetId="6" r:id="rId6"/>
    <sheet name="cpu" sheetId="13" r:id="rId7"/>
    <sheet name="gps" sheetId="15" r:id="rId8"/>
    <sheet name="imu" sheetId="11" r:id="rId9"/>
    <sheet name="mtr" sheetId="12" r:id="rId10"/>
    <sheet name="pload" sheetId="14" r:id="rId11"/>
    <sheet name="rw" sheetId="8" r:id="rId12"/>
    <sheet name="ssen" sheetId="10" r:id="rId13"/>
    <sheet name="strg" sheetId="9" r:id="rId14"/>
    <sheet name="tsen" sheetId="5" r:id="rId15"/>
    <sheet name="motr" sheetId="17" r:id="rId16"/>
    <sheet name="swch" sheetId="18" r:id="rId17"/>
    <sheet name="summary" sheetId="16" r:id="rId18"/>
  </sheets>
  <calcPr calcId="145621"/>
</workbook>
</file>

<file path=xl/calcChain.xml><?xml version="1.0" encoding="utf-8"?>
<calcChain xmlns="http://schemas.openxmlformats.org/spreadsheetml/2006/main">
  <c r="Q2" i="1" l="1"/>
  <c r="P2" i="1"/>
  <c r="B350" i="16" l="1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2" i="16"/>
  <c r="D10" i="3"/>
  <c r="M2" i="1" l="1"/>
  <c r="O2" i="1"/>
  <c r="N2" i="1" l="1"/>
  <c r="L2" i="1"/>
  <c r="K2" i="1"/>
  <c r="J2" i="1"/>
  <c r="I2" i="1"/>
  <c r="H2" i="1"/>
  <c r="G2" i="1"/>
  <c r="F2" i="1"/>
  <c r="E2" i="1"/>
  <c r="D2" i="1"/>
  <c r="C2" i="1"/>
  <c r="B2" i="1"/>
  <c r="D95" i="16" l="1"/>
  <c r="C141" i="16"/>
  <c r="F178" i="16"/>
  <c r="D197" i="16"/>
  <c r="F256" i="16"/>
  <c r="C147" i="16"/>
  <c r="F190" i="16"/>
  <c r="D25" i="16"/>
  <c r="C264" i="16"/>
  <c r="C269" i="16"/>
  <c r="C41" i="16"/>
  <c r="D141" i="16"/>
  <c r="C302" i="16"/>
  <c r="D283" i="16"/>
  <c r="F197" i="16"/>
  <c r="F181" i="16"/>
  <c r="F110" i="16"/>
  <c r="F207" i="16"/>
  <c r="F188" i="16"/>
  <c r="C297" i="16"/>
  <c r="F90" i="16"/>
  <c r="C296" i="16"/>
  <c r="C125" i="16"/>
  <c r="F333" i="16"/>
  <c r="F55" i="16"/>
  <c r="C274" i="16"/>
  <c r="C24" i="16"/>
  <c r="D138" i="16"/>
  <c r="D290" i="16"/>
  <c r="C21" i="16"/>
  <c r="D100" i="16"/>
  <c r="D72" i="16"/>
  <c r="D126" i="16"/>
  <c r="F229" i="16"/>
  <c r="D15" i="16"/>
  <c r="C176" i="16"/>
  <c r="C172" i="16"/>
  <c r="C43" i="16"/>
  <c r="D161" i="16"/>
  <c r="F241" i="16"/>
  <c r="F310" i="16"/>
  <c r="F227" i="16"/>
  <c r="C19" i="16"/>
  <c r="D297" i="16"/>
  <c r="C90" i="16"/>
  <c r="C48" i="16"/>
  <c r="F16" i="16"/>
  <c r="C46" i="16"/>
  <c r="C317" i="16"/>
  <c r="C226" i="16"/>
  <c r="F144" i="16"/>
  <c r="C104" i="16"/>
  <c r="D279" i="16"/>
  <c r="F143" i="16"/>
  <c r="F252" i="16"/>
  <c r="C124" i="16"/>
  <c r="F116" i="16"/>
  <c r="C249" i="16"/>
  <c r="C193" i="16"/>
  <c r="F321" i="16"/>
  <c r="D342" i="16"/>
  <c r="D124" i="16"/>
  <c r="F336" i="16"/>
  <c r="C292" i="16"/>
  <c r="C263" i="16"/>
  <c r="C219" i="16"/>
  <c r="F6" i="16"/>
  <c r="C49" i="16"/>
  <c r="F137" i="16"/>
  <c r="D147" i="16"/>
  <c r="C283" i="16"/>
  <c r="F334" i="16"/>
  <c r="D114" i="16"/>
  <c r="D207" i="16"/>
  <c r="D263" i="16"/>
  <c r="F65" i="16"/>
  <c r="F234" i="16"/>
  <c r="D347" i="16"/>
  <c r="F67" i="16"/>
  <c r="C177" i="16"/>
  <c r="C313" i="16"/>
  <c r="F89" i="16"/>
  <c r="C163" i="16"/>
  <c r="D76" i="16"/>
  <c r="D39" i="16"/>
  <c r="D234" i="16"/>
  <c r="D154" i="16"/>
  <c r="C200" i="16"/>
  <c r="C205" i="16"/>
  <c r="F175" i="16"/>
  <c r="D12" i="16"/>
  <c r="C34" i="16"/>
  <c r="D320" i="16"/>
  <c r="C83" i="16"/>
  <c r="C152" i="16"/>
  <c r="F330" i="16"/>
  <c r="C28" i="16"/>
  <c r="F191" i="16"/>
  <c r="C58" i="16"/>
  <c r="D264" i="16"/>
  <c r="D4" i="3"/>
  <c r="C178" i="16"/>
  <c r="F119" i="16"/>
  <c r="D259" i="16"/>
  <c r="D281" i="16"/>
  <c r="F302" i="16"/>
  <c r="F50" i="16"/>
  <c r="C101" i="16"/>
  <c r="F320" i="16"/>
  <c r="D200" i="16"/>
  <c r="C167" i="16"/>
  <c r="C113" i="16"/>
  <c r="C182" i="16"/>
  <c r="D230" i="16"/>
  <c r="F349" i="16"/>
  <c r="C239" i="16"/>
  <c r="D336" i="16"/>
  <c r="C60" i="16"/>
  <c r="D3" i="3"/>
  <c r="D94" i="16"/>
  <c r="C134" i="16"/>
  <c r="C99" i="16"/>
  <c r="C131" i="16"/>
  <c r="F79" i="16"/>
  <c r="C261" i="16"/>
  <c r="C57" i="16"/>
  <c r="C300" i="16"/>
  <c r="C338" i="16"/>
  <c r="C308" i="16"/>
  <c r="C307" i="16"/>
  <c r="F113" i="16"/>
  <c r="F277" i="16"/>
  <c r="D30" i="16"/>
  <c r="C277" i="16"/>
  <c r="F198" i="16"/>
  <c r="F186" i="16"/>
  <c r="C81" i="16"/>
  <c r="F19" i="16"/>
  <c r="F212" i="16"/>
  <c r="C248" i="16"/>
  <c r="D204" i="16"/>
  <c r="D311" i="16"/>
  <c r="D274" i="16"/>
  <c r="C20" i="16"/>
  <c r="F70" i="16"/>
  <c r="D181" i="16"/>
  <c r="C40" i="16"/>
  <c r="C107" i="16"/>
  <c r="D188" i="16"/>
  <c r="F148" i="16"/>
  <c r="F223" i="16"/>
  <c r="F279" i="16"/>
  <c r="F30" i="16"/>
  <c r="F48" i="16"/>
  <c r="C32" i="16"/>
  <c r="C282" i="16"/>
  <c r="F248" i="16"/>
  <c r="D121" i="16"/>
  <c r="C235" i="16"/>
  <c r="D70" i="16"/>
  <c r="C243" i="16"/>
  <c r="F76" i="16"/>
  <c r="C10" i="16"/>
  <c r="F329" i="16"/>
  <c r="D177" i="16"/>
  <c r="D286" i="16"/>
  <c r="D8" i="3"/>
  <c r="D13" i="16"/>
  <c r="C76" i="16"/>
  <c r="F258" i="16"/>
  <c r="D257" i="16"/>
  <c r="D98" i="16"/>
  <c r="D148" i="16"/>
  <c r="C204" i="16"/>
  <c r="D199" i="16"/>
  <c r="F242" i="16"/>
  <c r="D328" i="16"/>
  <c r="F203" i="16"/>
  <c r="D150" i="16"/>
  <c r="C73" i="16"/>
  <c r="F292" i="16"/>
  <c r="D73" i="16"/>
  <c r="D28" i="16"/>
  <c r="C301" i="16"/>
  <c r="D32" i="16"/>
  <c r="C137" i="16"/>
  <c r="C207" i="16"/>
  <c r="D109" i="16"/>
  <c r="D77" i="16"/>
  <c r="D273" i="16"/>
  <c r="F262" i="16"/>
  <c r="D348" i="16"/>
  <c r="F251" i="16"/>
  <c r="C294" i="16"/>
  <c r="F332" i="16"/>
  <c r="D160" i="16"/>
  <c r="F208" i="16"/>
  <c r="F344" i="16"/>
  <c r="C336" i="16"/>
  <c r="C59" i="16"/>
  <c r="C203" i="16"/>
  <c r="C306" i="16"/>
  <c r="D304" i="16"/>
  <c r="D45" i="16"/>
  <c r="C109" i="16"/>
  <c r="C75" i="16"/>
  <c r="D47" i="16"/>
  <c r="D6" i="16"/>
  <c r="F335" i="16"/>
  <c r="C347" i="16"/>
  <c r="D163" i="16"/>
  <c r="C280" i="16"/>
  <c r="D108" i="16"/>
  <c r="D226" i="16"/>
  <c r="C66" i="16"/>
  <c r="F184" i="16"/>
  <c r="F317" i="16"/>
  <c r="F235" i="16"/>
  <c r="D21" i="16"/>
  <c r="D9" i="3"/>
  <c r="F347" i="16"/>
  <c r="C50" i="16"/>
  <c r="F345" i="16"/>
  <c r="F233" i="16"/>
  <c r="F29" i="16"/>
  <c r="D81" i="16"/>
  <c r="C36" i="16"/>
  <c r="D294" i="16"/>
  <c r="D68" i="16"/>
  <c r="D174" i="16"/>
  <c r="F154" i="16"/>
  <c r="D344" i="16"/>
  <c r="D134" i="16"/>
  <c r="F300" i="16"/>
  <c r="C37" i="16"/>
  <c r="F14" i="16"/>
  <c r="F259" i="16"/>
  <c r="D202" i="16"/>
  <c r="D35" i="16"/>
  <c r="D338" i="16"/>
  <c r="C320" i="16"/>
  <c r="F128" i="16"/>
  <c r="C102" i="16"/>
  <c r="C236" i="16"/>
  <c r="F226" i="16"/>
  <c r="F92" i="16"/>
  <c r="F274" i="16"/>
  <c r="D331" i="16"/>
  <c r="C348" i="16"/>
  <c r="C7" i="16"/>
  <c r="C323" i="16"/>
  <c r="D333" i="16"/>
  <c r="F161" i="16"/>
  <c r="C5" i="16"/>
  <c r="F123" i="16"/>
  <c r="D167" i="16"/>
  <c r="D128" i="16"/>
  <c r="C330" i="16"/>
  <c r="D139" i="16"/>
  <c r="D349" i="16"/>
  <c r="C97" i="16"/>
  <c r="C158" i="16"/>
  <c r="D80" i="16"/>
  <c r="F243" i="16"/>
  <c r="D4" i="16"/>
  <c r="C157" i="16"/>
  <c r="C173" i="16"/>
  <c r="F189" i="16"/>
  <c r="F255" i="16"/>
  <c r="C285" i="16"/>
  <c r="D171" i="16"/>
  <c r="F52" i="16"/>
  <c r="C160" i="16"/>
  <c r="F158" i="16"/>
  <c r="F232" i="16"/>
  <c r="F174" i="16"/>
  <c r="D127" i="16"/>
  <c r="F21" i="16"/>
  <c r="D243" i="16"/>
  <c r="F104" i="16"/>
  <c r="F287" i="16"/>
  <c r="D63" i="16"/>
  <c r="F115" i="16"/>
  <c r="D23" i="16"/>
  <c r="D144" i="16"/>
  <c r="F20" i="16"/>
  <c r="C3" i="16"/>
  <c r="C327" i="16"/>
  <c r="F342" i="16"/>
  <c r="F163" i="16"/>
  <c r="D44" i="16"/>
  <c r="F307" i="16"/>
  <c r="F275" i="16"/>
  <c r="D184" i="16"/>
  <c r="C9" i="16"/>
  <c r="F38" i="16"/>
  <c r="C127" i="16"/>
  <c r="F346" i="16"/>
  <c r="F64" i="16"/>
  <c r="D168" i="16"/>
  <c r="C53" i="16"/>
  <c r="F126" i="16"/>
  <c r="D43" i="16"/>
  <c r="D222" i="16"/>
  <c r="C244" i="16"/>
  <c r="C92" i="16"/>
  <c r="F328" i="16"/>
  <c r="D27" i="16"/>
  <c r="C212" i="16"/>
  <c r="C288" i="16"/>
  <c r="D119" i="16"/>
  <c r="F101" i="16"/>
  <c r="F39" i="16"/>
  <c r="D287" i="16"/>
  <c r="C175" i="16"/>
  <c r="C250" i="16"/>
  <c r="F83" i="16"/>
  <c r="C298" i="16"/>
  <c r="D268" i="16"/>
  <c r="D59" i="16"/>
  <c r="F297" i="16"/>
  <c r="D288" i="16"/>
  <c r="C322" i="16"/>
  <c r="C350" i="16"/>
  <c r="F326" i="16"/>
  <c r="F68" i="16"/>
  <c r="F46" i="16"/>
  <c r="D146" i="16"/>
  <c r="F45" i="16"/>
  <c r="F159" i="16"/>
  <c r="C168" i="16"/>
  <c r="D289" i="16"/>
  <c r="F299" i="16"/>
  <c r="D125" i="16"/>
  <c r="C138" i="16"/>
  <c r="F268" i="16"/>
  <c r="F278" i="16"/>
  <c r="F71" i="16"/>
  <c r="D272" i="16"/>
  <c r="F253" i="16"/>
  <c r="F247" i="16"/>
  <c r="F201" i="16"/>
  <c r="F2" i="16"/>
  <c r="D145" i="16"/>
  <c r="C303" i="16"/>
  <c r="C161" i="16"/>
  <c r="C289" i="16"/>
  <c r="F35" i="16"/>
  <c r="C181" i="16"/>
  <c r="D5" i="3"/>
  <c r="F156" i="16"/>
  <c r="F168" i="16"/>
  <c r="D189" i="16"/>
  <c r="C251" i="16"/>
  <c r="D327" i="16"/>
  <c r="D2" i="3"/>
  <c r="D192" i="16"/>
  <c r="F306" i="16"/>
  <c r="F316" i="16"/>
  <c r="F167" i="16"/>
  <c r="D99" i="16"/>
  <c r="C332" i="16"/>
  <c r="D133" i="16"/>
  <c r="C85" i="16"/>
  <c r="C326" i="16"/>
  <c r="C94" i="16"/>
  <c r="D212" i="16"/>
  <c r="C72" i="16"/>
  <c r="C39" i="16"/>
  <c r="D54" i="16"/>
  <c r="F102" i="16"/>
  <c r="C164" i="16"/>
  <c r="D173" i="16"/>
  <c r="D106" i="16"/>
  <c r="F22" i="16"/>
  <c r="F157" i="16"/>
  <c r="C265" i="16"/>
  <c r="F107" i="16"/>
  <c r="C230" i="16"/>
  <c r="D334" i="16"/>
  <c r="F327" i="16"/>
  <c r="C199" i="16"/>
  <c r="F165" i="16"/>
  <c r="C321" i="16"/>
  <c r="F33" i="16"/>
  <c r="D40" i="16"/>
  <c r="C238" i="16"/>
  <c r="F249" i="16"/>
  <c r="D216" i="16"/>
  <c r="F78" i="16"/>
  <c r="C67" i="16"/>
  <c r="D277" i="16"/>
  <c r="C63" i="16"/>
  <c r="C186" i="16"/>
  <c r="C112" i="16"/>
  <c r="C271" i="16"/>
  <c r="D170" i="16"/>
  <c r="D278" i="16"/>
  <c r="D252" i="16"/>
  <c r="D256" i="16"/>
  <c r="F54" i="16"/>
  <c r="C314" i="16"/>
  <c r="F145" i="16"/>
  <c r="F36" i="16"/>
  <c r="D271" i="16"/>
  <c r="D326" i="16"/>
  <c r="F124" i="16"/>
  <c r="D201" i="16"/>
  <c r="D29" i="16"/>
  <c r="F245" i="16"/>
  <c r="F133" i="16"/>
  <c r="C223" i="16"/>
  <c r="D340" i="16"/>
  <c r="C95" i="16"/>
  <c r="D122" i="16"/>
  <c r="D17" i="16"/>
  <c r="D253" i="16"/>
  <c r="F74" i="16"/>
  <c r="D142" i="16"/>
  <c r="D11" i="16"/>
  <c r="F213" i="16"/>
  <c r="D220" i="16"/>
  <c r="C26" i="16"/>
  <c r="D335" i="16"/>
  <c r="C56" i="16"/>
  <c r="F105" i="16"/>
  <c r="C246" i="16"/>
  <c r="D345" i="16"/>
  <c r="D343" i="16"/>
  <c r="F63" i="16"/>
  <c r="F87" i="16"/>
  <c r="D307" i="16"/>
  <c r="D120" i="16"/>
  <c r="C329" i="16"/>
  <c r="C266" i="16"/>
  <c r="D83" i="16"/>
  <c r="F88" i="16"/>
  <c r="F17" i="16"/>
  <c r="F220" i="16"/>
  <c r="C171" i="16"/>
  <c r="D132" i="16"/>
  <c r="C218" i="16"/>
  <c r="D86" i="16"/>
  <c r="D346" i="16"/>
  <c r="D260" i="16"/>
  <c r="D71" i="16"/>
  <c r="D246" i="16"/>
  <c r="C299" i="16"/>
  <c r="C165" i="16"/>
  <c r="D244" i="16"/>
  <c r="F285" i="16"/>
  <c r="C231" i="16"/>
  <c r="F164" i="16"/>
  <c r="D101" i="16"/>
  <c r="D293" i="16"/>
  <c r="C284" i="16"/>
  <c r="D191" i="16"/>
  <c r="C190" i="16"/>
  <c r="C253" i="16"/>
  <c r="C179" i="16"/>
  <c r="F179" i="16"/>
  <c r="C169" i="16"/>
  <c r="C54" i="16"/>
  <c r="C86" i="16"/>
  <c r="F244" i="16"/>
  <c r="F26" i="16"/>
  <c r="C87" i="16"/>
  <c r="C325" i="16"/>
  <c r="F338" i="16"/>
  <c r="D276" i="16"/>
  <c r="C241" i="16"/>
  <c r="F72" i="16"/>
  <c r="D203" i="16"/>
  <c r="D65" i="16"/>
  <c r="C272" i="16"/>
  <c r="F121" i="16"/>
  <c r="F176" i="16"/>
  <c r="F131" i="16"/>
  <c r="C38" i="16"/>
  <c r="F219" i="16"/>
  <c r="D176" i="16"/>
  <c r="F204" i="16"/>
  <c r="C233" i="16"/>
  <c r="F261" i="16"/>
  <c r="F340" i="16"/>
  <c r="C153" i="16"/>
  <c r="F271" i="16"/>
  <c r="C140" i="16"/>
  <c r="C342" i="16"/>
  <c r="F18" i="16"/>
  <c r="D58" i="16"/>
  <c r="F170" i="16"/>
  <c r="C276" i="16"/>
  <c r="D41" i="16"/>
  <c r="D172" i="16"/>
  <c r="C214" i="16"/>
  <c r="C334" i="16"/>
  <c r="C340" i="16"/>
  <c r="C189" i="16"/>
  <c r="D312" i="16"/>
  <c r="C88" i="16"/>
  <c r="F325" i="16"/>
  <c r="C154" i="16"/>
  <c r="F94" i="16"/>
  <c r="D314" i="16"/>
  <c r="F12" i="16"/>
  <c r="C145" i="16"/>
  <c r="F85" i="16"/>
  <c r="F265" i="16"/>
  <c r="C15" i="16"/>
  <c r="F283" i="16"/>
  <c r="D75" i="16"/>
  <c r="F112" i="16"/>
  <c r="F146" i="16"/>
  <c r="F31" i="16"/>
  <c r="F61" i="16"/>
  <c r="C150" i="16"/>
  <c r="D206" i="16"/>
  <c r="C315" i="16"/>
  <c r="F117" i="16"/>
  <c r="F169" i="16"/>
  <c r="C254" i="16"/>
  <c r="F138" i="16"/>
  <c r="F152" i="16"/>
  <c r="F166" i="16"/>
  <c r="F97" i="16"/>
  <c r="C345" i="16"/>
  <c r="D221" i="16"/>
  <c r="D67" i="16"/>
  <c r="D158" i="16"/>
  <c r="F120" i="16"/>
  <c r="C31" i="16"/>
  <c r="D313" i="16"/>
  <c r="C215" i="16"/>
  <c r="D92" i="16"/>
  <c r="C304" i="16"/>
  <c r="C91" i="16"/>
  <c r="C245" i="16"/>
  <c r="C349" i="16"/>
  <c r="D258" i="16"/>
  <c r="D211" i="16"/>
  <c r="F56" i="16"/>
  <c r="F80" i="16"/>
  <c r="D275" i="16"/>
  <c r="F339" i="16"/>
  <c r="D48" i="16"/>
  <c r="D190" i="16"/>
  <c r="F324" i="16"/>
  <c r="C142" i="16"/>
  <c r="F136" i="16"/>
  <c r="F289" i="16"/>
  <c r="C225" i="16"/>
  <c r="C78" i="16"/>
  <c r="F343" i="16"/>
  <c r="F77" i="16"/>
  <c r="C30" i="16"/>
  <c r="C64" i="16"/>
  <c r="D231" i="16"/>
  <c r="F260" i="16"/>
  <c r="D296" i="16"/>
  <c r="C11" i="16"/>
  <c r="F199" i="16"/>
  <c r="D266" i="16"/>
  <c r="D66" i="16"/>
  <c r="C116" i="16"/>
  <c r="F193" i="16"/>
  <c r="C278" i="16"/>
  <c r="D105" i="16"/>
  <c r="F103" i="16"/>
  <c r="C242" i="16"/>
  <c r="C287" i="16"/>
  <c r="C61" i="16"/>
  <c r="F267" i="16"/>
  <c r="C129" i="16"/>
  <c r="F118" i="16"/>
  <c r="C84" i="16"/>
  <c r="D210" i="16"/>
  <c r="F196" i="16"/>
  <c r="C331" i="16"/>
  <c r="D341" i="16"/>
  <c r="D89" i="16"/>
  <c r="C295" i="16"/>
  <c r="D215" i="16"/>
  <c r="D169" i="16"/>
  <c r="F295" i="16"/>
  <c r="C23" i="16"/>
  <c r="D245" i="16"/>
  <c r="C324" i="16"/>
  <c r="C187" i="16"/>
  <c r="C275" i="16"/>
  <c r="D269" i="16"/>
  <c r="F53" i="16"/>
  <c r="C4" i="16"/>
  <c r="D85" i="16"/>
  <c r="D227" i="16"/>
  <c r="C194" i="16"/>
  <c r="D302" i="16"/>
  <c r="C213" i="16"/>
  <c r="F314" i="16"/>
  <c r="C89" i="16"/>
  <c r="F114" i="16"/>
  <c r="F211" i="16"/>
  <c r="D46" i="16"/>
  <c r="D317" i="16"/>
  <c r="F264" i="16"/>
  <c r="F149" i="16"/>
  <c r="D193" i="16"/>
  <c r="D10" i="16"/>
  <c r="D329" i="16"/>
  <c r="C52" i="16"/>
  <c r="F230" i="16"/>
  <c r="C183" i="16"/>
  <c r="D248" i="16"/>
  <c r="F290" i="16"/>
  <c r="D308" i="16"/>
  <c r="D90" i="16"/>
  <c r="D323" i="16"/>
  <c r="D182" i="16"/>
  <c r="F236" i="16"/>
  <c r="F185" i="16"/>
  <c r="D74" i="16"/>
  <c r="F60" i="16"/>
  <c r="C180" i="16"/>
  <c r="C126" i="16"/>
  <c r="C128" i="16"/>
  <c r="C310" i="16"/>
  <c r="D251" i="16"/>
  <c r="F132" i="16"/>
  <c r="D238" i="16"/>
  <c r="D8" i="16"/>
  <c r="F51" i="16"/>
  <c r="C100" i="16"/>
  <c r="D55" i="16"/>
  <c r="C240" i="16"/>
  <c r="F215" i="16"/>
  <c r="C170" i="16"/>
  <c r="F142" i="16"/>
  <c r="F266" i="16"/>
  <c r="D235" i="16"/>
  <c r="F303" i="16"/>
  <c r="C328" i="16"/>
  <c r="F206" i="16"/>
  <c r="C118" i="16"/>
  <c r="D180" i="16"/>
  <c r="F41" i="16"/>
  <c r="D183" i="16"/>
  <c r="F150" i="16"/>
  <c r="F315" i="16"/>
  <c r="F44" i="16"/>
  <c r="D62" i="16"/>
  <c r="D291" i="16"/>
  <c r="C71" i="16"/>
  <c r="C18" i="16"/>
  <c r="F250" i="16"/>
  <c r="C227" i="16"/>
  <c r="F95" i="16"/>
  <c r="C335" i="16"/>
  <c r="D96" i="16"/>
  <c r="F209" i="16"/>
  <c r="C224" i="16"/>
  <c r="F183" i="16"/>
  <c r="C130" i="16"/>
  <c r="F263" i="16"/>
  <c r="F228" i="16"/>
  <c r="C273" i="16"/>
  <c r="D131" i="16"/>
  <c r="F313" i="16"/>
  <c r="F3" i="16"/>
  <c r="C135" i="16"/>
  <c r="C293" i="16"/>
  <c r="C79" i="16"/>
  <c r="F73" i="16"/>
  <c r="D3" i="16"/>
  <c r="C27" i="16"/>
  <c r="C80" i="16"/>
  <c r="C110" i="16"/>
  <c r="D254" i="16"/>
  <c r="D309" i="16"/>
  <c r="F69" i="16"/>
  <c r="C70" i="16"/>
  <c r="D113" i="16"/>
  <c r="F205" i="16"/>
  <c r="C13" i="16"/>
  <c r="D107" i="16"/>
  <c r="D135" i="16"/>
  <c r="D149" i="16"/>
  <c r="D267" i="16"/>
  <c r="C25" i="16"/>
  <c r="C144" i="16"/>
  <c r="C29" i="16"/>
  <c r="D118" i="16"/>
  <c r="C209" i="16"/>
  <c r="F276" i="16"/>
  <c r="F111" i="16"/>
  <c r="D53" i="16"/>
  <c r="C222" i="16"/>
  <c r="F322" i="16"/>
  <c r="C44" i="16"/>
  <c r="D299" i="16"/>
  <c r="C255" i="16"/>
  <c r="C98" i="16"/>
  <c r="F331" i="16"/>
  <c r="C228" i="16"/>
  <c r="C185" i="16"/>
  <c r="C258" i="16"/>
  <c r="F86" i="16"/>
  <c r="F238" i="16"/>
  <c r="D82" i="16"/>
  <c r="D285" i="16"/>
  <c r="F348" i="16"/>
  <c r="C195" i="16"/>
  <c r="F43" i="16"/>
  <c r="F224" i="16"/>
  <c r="C139" i="16"/>
  <c r="C51" i="16"/>
  <c r="D52" i="16"/>
  <c r="F217" i="16"/>
  <c r="C133" i="16"/>
  <c r="F147" i="16"/>
  <c r="D79" i="16"/>
  <c r="D218" i="16"/>
  <c r="D91" i="16"/>
  <c r="C208" i="16"/>
  <c r="C82" i="16"/>
  <c r="D31" i="16"/>
  <c r="D241" i="16"/>
  <c r="C8" i="16"/>
  <c r="F96" i="16"/>
  <c r="D306" i="16"/>
  <c r="C151" i="16"/>
  <c r="D318" i="16"/>
  <c r="C184" i="16"/>
  <c r="C77" i="16"/>
  <c r="D350" i="16"/>
  <c r="C346" i="16"/>
  <c r="F305" i="16"/>
  <c r="D36" i="16"/>
  <c r="D57" i="16"/>
  <c r="D61" i="16"/>
  <c r="C268" i="16"/>
  <c r="F273" i="16"/>
  <c r="D205" i="16"/>
  <c r="C156" i="16"/>
  <c r="C149" i="16"/>
  <c r="C159" i="16"/>
  <c r="D196" i="16"/>
  <c r="D316" i="16"/>
  <c r="D19" i="16"/>
  <c r="F98" i="16"/>
  <c r="F231" i="16"/>
  <c r="D240" i="16"/>
  <c r="F171" i="16"/>
  <c r="D194" i="16"/>
  <c r="C318" i="16"/>
  <c r="F139" i="16"/>
  <c r="D185" i="16"/>
  <c r="D111" i="16"/>
  <c r="F37" i="16"/>
  <c r="D151" i="16"/>
  <c r="D223" i="16"/>
  <c r="F222" i="16"/>
  <c r="D123" i="16"/>
  <c r="C148" i="16"/>
  <c r="F15" i="16"/>
  <c r="C69" i="16"/>
  <c r="C6" i="16"/>
  <c r="F239" i="16"/>
  <c r="F318" i="16"/>
  <c r="C106" i="16"/>
  <c r="D265" i="16"/>
  <c r="F155" i="16"/>
  <c r="D104" i="16"/>
  <c r="F301" i="16"/>
  <c r="D179" i="16"/>
  <c r="C247" i="16"/>
  <c r="D51" i="16"/>
  <c r="F246" i="16"/>
  <c r="C198" i="16"/>
  <c r="D292" i="16"/>
  <c r="F187" i="16"/>
  <c r="D155" i="16"/>
  <c r="D159" i="16"/>
  <c r="C132" i="16"/>
  <c r="D219" i="16"/>
  <c r="D14" i="16"/>
  <c r="F9" i="16"/>
  <c r="D232" i="16"/>
  <c r="F194" i="16"/>
  <c r="F93" i="16"/>
  <c r="D198" i="16"/>
  <c r="D247" i="16"/>
  <c r="F294" i="16"/>
  <c r="F200" i="16"/>
  <c r="D228" i="16"/>
  <c r="D310" i="16"/>
  <c r="D140" i="16"/>
  <c r="F125" i="16"/>
  <c r="F140" i="16"/>
  <c r="D88" i="16"/>
  <c r="C12" i="16"/>
  <c r="C65" i="16"/>
  <c r="C105" i="16"/>
  <c r="F42" i="16"/>
  <c r="F108" i="16"/>
  <c r="D282" i="16"/>
  <c r="C262" i="16"/>
  <c r="F308" i="16"/>
  <c r="C201" i="16"/>
  <c r="C316" i="16"/>
  <c r="D319" i="16"/>
  <c r="D249" i="16"/>
  <c r="D233" i="16"/>
  <c r="D24" i="16"/>
  <c r="D164" i="16"/>
  <c r="F257" i="16"/>
  <c r="C68" i="16"/>
  <c r="C155" i="16"/>
  <c r="D305" i="16"/>
  <c r="D339" i="16"/>
  <c r="F122" i="16"/>
  <c r="D270" i="16"/>
  <c r="C259" i="16"/>
  <c r="C115" i="16"/>
  <c r="D103" i="16"/>
  <c r="D229" i="16"/>
  <c r="C333" i="16"/>
  <c r="C339" i="16"/>
  <c r="D38" i="16"/>
  <c r="D157" i="16"/>
  <c r="D2" i="16"/>
  <c r="C121" i="16"/>
  <c r="F240" i="16"/>
  <c r="F272" i="16"/>
  <c r="F202" i="16"/>
  <c r="F62" i="16"/>
  <c r="D37" i="16"/>
  <c r="F221" i="16"/>
  <c r="C55" i="16"/>
  <c r="F291" i="16"/>
  <c r="C337" i="16"/>
  <c r="F218" i="16"/>
  <c r="D321" i="16"/>
  <c r="D187" i="16"/>
  <c r="F319" i="16"/>
  <c r="C35" i="16"/>
  <c r="C220" i="16"/>
  <c r="D130" i="16"/>
  <c r="C14" i="16"/>
  <c r="C96" i="16"/>
  <c r="D143" i="16"/>
  <c r="F27" i="16"/>
  <c r="F337" i="16"/>
  <c r="F59" i="16"/>
  <c r="D214" i="16"/>
  <c r="D209" i="16"/>
  <c r="D136" i="16"/>
  <c r="D250" i="16"/>
  <c r="D325" i="16"/>
  <c r="F13" i="16"/>
  <c r="F254" i="16"/>
  <c r="F293" i="16"/>
  <c r="D298" i="16"/>
  <c r="D337" i="16"/>
  <c r="F5" i="16"/>
  <c r="C279" i="16"/>
  <c r="F24" i="16"/>
  <c r="C108" i="16"/>
  <c r="F281" i="16"/>
  <c r="D225" i="16"/>
  <c r="C33" i="16"/>
  <c r="D115" i="16"/>
  <c r="F84" i="16"/>
  <c r="D34" i="16"/>
  <c r="D33" i="16"/>
  <c r="C2" i="16"/>
  <c r="F309" i="16"/>
  <c r="D16" i="16"/>
  <c r="D162" i="16"/>
  <c r="F214" i="16"/>
  <c r="F34" i="16"/>
  <c r="F311" i="16"/>
  <c r="F284" i="16"/>
  <c r="F225" i="16"/>
  <c r="F66" i="16"/>
  <c r="D87" i="16"/>
  <c r="D186" i="16"/>
  <c r="F135" i="16"/>
  <c r="D284" i="16"/>
  <c r="C290" i="16"/>
  <c r="D195" i="16"/>
  <c r="D102" i="16"/>
  <c r="C22" i="16"/>
  <c r="D56" i="16"/>
  <c r="C42" i="16"/>
  <c r="C341" i="16"/>
  <c r="D18" i="16"/>
  <c r="F109" i="16"/>
  <c r="C74" i="16"/>
  <c r="C221" i="16"/>
  <c r="F210" i="16"/>
  <c r="D315" i="16"/>
  <c r="D6" i="3"/>
  <c r="F192" i="16"/>
  <c r="C122" i="16"/>
  <c r="C286" i="16"/>
  <c r="D208" i="16"/>
  <c r="D69" i="16"/>
  <c r="C267" i="16"/>
  <c r="C117" i="16"/>
  <c r="D110" i="16"/>
  <c r="D300" i="16"/>
  <c r="F182" i="16"/>
  <c r="D97" i="16"/>
  <c r="D116" i="16"/>
  <c r="F91" i="16"/>
  <c r="F81" i="16"/>
  <c r="C312" i="16"/>
  <c r="C319" i="16"/>
  <c r="D129" i="16"/>
  <c r="C270" i="16"/>
  <c r="D78" i="16"/>
  <c r="D84" i="16"/>
  <c r="F173" i="16"/>
  <c r="D301" i="16"/>
  <c r="D213" i="16"/>
  <c r="C136" i="16"/>
  <c r="F100" i="16"/>
  <c r="F269" i="16"/>
  <c r="F162" i="16"/>
  <c r="F58" i="16"/>
  <c r="F28" i="16"/>
  <c r="C232" i="16"/>
  <c r="D217" i="16"/>
  <c r="C197" i="16"/>
  <c r="C217" i="16"/>
  <c r="F40" i="16"/>
  <c r="D137" i="16"/>
  <c r="F134" i="16"/>
  <c r="D324" i="16"/>
  <c r="D117" i="16"/>
  <c r="F141" i="16"/>
  <c r="F298" i="16"/>
  <c r="D93" i="16"/>
  <c r="C206" i="16"/>
  <c r="F282" i="16"/>
  <c r="C188" i="16"/>
  <c r="C166" i="16"/>
  <c r="F195" i="16"/>
  <c r="C143" i="16"/>
  <c r="C311" i="16"/>
  <c r="D242" i="16"/>
  <c r="D255" i="16"/>
  <c r="D224" i="16"/>
  <c r="F296" i="16"/>
  <c r="C191" i="16"/>
  <c r="F160" i="16"/>
  <c r="D303" i="16"/>
  <c r="C123" i="16"/>
  <c r="C196" i="16"/>
  <c r="C305" i="16"/>
  <c r="F304" i="16"/>
  <c r="C344" i="16"/>
  <c r="D236" i="16"/>
  <c r="C47" i="16"/>
  <c r="C234" i="16"/>
  <c r="D237" i="16"/>
  <c r="F11" i="16"/>
  <c r="D49" i="16"/>
  <c r="F75" i="16"/>
  <c r="D262" i="16"/>
  <c r="F47" i="16"/>
  <c r="D178" i="16"/>
  <c r="C146" i="16"/>
  <c r="C103" i="16"/>
  <c r="F180" i="16"/>
  <c r="C216" i="16"/>
  <c r="D261" i="16"/>
  <c r="F127" i="16"/>
  <c r="C291" i="16"/>
  <c r="F10" i="16"/>
  <c r="F4" i="16"/>
  <c r="C211" i="16"/>
  <c r="F23" i="16"/>
  <c r="D175" i="16"/>
  <c r="F323" i="16"/>
  <c r="C260" i="16"/>
  <c r="F341" i="16"/>
  <c r="F350" i="16"/>
  <c r="C257" i="16"/>
  <c r="F172" i="16"/>
  <c r="F237" i="16"/>
  <c r="C17" i="16"/>
  <c r="F8" i="16"/>
  <c r="D156" i="16"/>
  <c r="D50" i="16"/>
  <c r="D322" i="16"/>
  <c r="F286" i="16"/>
  <c r="D112" i="16"/>
  <c r="D26" i="16"/>
  <c r="D60" i="16"/>
  <c r="D42" i="16"/>
  <c r="F270" i="16"/>
  <c r="F25" i="16"/>
  <c r="F151" i="16"/>
  <c r="F153" i="16"/>
  <c r="C192" i="16"/>
  <c r="C16" i="16"/>
  <c r="F7" i="16"/>
  <c r="C111" i="16"/>
  <c r="F82" i="16"/>
  <c r="D20" i="16"/>
  <c r="D7" i="16"/>
  <c r="C309" i="16"/>
  <c r="F288" i="16"/>
  <c r="C174" i="16"/>
  <c r="C162" i="16"/>
  <c r="F57" i="16"/>
  <c r="C256" i="16"/>
  <c r="D330" i="16"/>
  <c r="D9" i="16"/>
  <c r="C120" i="16"/>
  <c r="D5" i="16"/>
  <c r="F312" i="16"/>
  <c r="F49" i="16"/>
  <c r="F216" i="16"/>
  <c r="C252" i="16"/>
  <c r="D152" i="16"/>
  <c r="C237" i="16"/>
  <c r="C93" i="16"/>
  <c r="D64" i="16"/>
  <c r="D280" i="16"/>
  <c r="F129" i="16"/>
  <c r="C114" i="16"/>
  <c r="D22" i="16"/>
  <c r="C62" i="16"/>
  <c r="C119" i="16"/>
  <c r="D153" i="16"/>
  <c r="F99" i="16"/>
  <c r="C45" i="16"/>
  <c r="C202" i="16"/>
  <c r="D239" i="16"/>
  <c r="F106" i="16"/>
  <c r="F130" i="16"/>
  <c r="C343" i="16"/>
  <c r="C210" i="16"/>
  <c r="C229" i="16"/>
  <c r="D332" i="16"/>
  <c r="D166" i="16"/>
  <c r="F177" i="16"/>
  <c r="F32" i="16"/>
  <c r="C281" i="16"/>
  <c r="F280" i="16"/>
  <c r="D165" i="16"/>
  <c r="D295" i="16"/>
  <c r="D7" i="3"/>
  <c r="G280" i="16" l="1"/>
  <c r="G32" i="16"/>
  <c r="G177" i="16"/>
  <c r="G130" i="16"/>
  <c r="G106" i="16"/>
  <c r="G99" i="16"/>
  <c r="G129" i="16"/>
  <c r="G216" i="16"/>
  <c r="G49" i="16"/>
  <c r="G312" i="16"/>
  <c r="G57" i="16"/>
  <c r="G288" i="16"/>
  <c r="G82" i="16"/>
  <c r="G153" i="16"/>
  <c r="G151" i="16"/>
  <c r="G25" i="16"/>
  <c r="G270" i="16"/>
  <c r="G286" i="16"/>
  <c r="G237" i="16"/>
  <c r="G172" i="16"/>
  <c r="G350" i="16"/>
  <c r="G341" i="16"/>
  <c r="G323" i="16"/>
  <c r="G23" i="16"/>
  <c r="G4" i="16"/>
  <c r="G127" i="16"/>
  <c r="G180" i="16"/>
  <c r="G47" i="16"/>
  <c r="G75" i="16"/>
  <c r="G304" i="16"/>
  <c r="G160" i="16"/>
  <c r="G296" i="16"/>
  <c r="G195" i="16"/>
  <c r="G282" i="16"/>
  <c r="G298" i="16"/>
  <c r="G141" i="16"/>
  <c r="G134" i="16"/>
  <c r="G40" i="16"/>
  <c r="G28" i="16"/>
  <c r="G58" i="16"/>
  <c r="G162" i="16"/>
  <c r="G269" i="16"/>
  <c r="G100" i="16"/>
  <c r="G173" i="16"/>
  <c r="G81" i="16"/>
  <c r="G91" i="16"/>
  <c r="G182" i="16"/>
  <c r="G192" i="16"/>
  <c r="G210" i="16"/>
  <c r="G109" i="16"/>
  <c r="G135" i="16"/>
  <c r="G66" i="16"/>
  <c r="G225" i="16"/>
  <c r="G284" i="16"/>
  <c r="G311" i="16"/>
  <c r="G34" i="16"/>
  <c r="G214" i="16"/>
  <c r="G309" i="16"/>
  <c r="G84" i="16"/>
  <c r="G281" i="16"/>
  <c r="G24" i="16"/>
  <c r="G5" i="16"/>
  <c r="G293" i="16"/>
  <c r="G254" i="16"/>
  <c r="G59" i="16"/>
  <c r="G337" i="16"/>
  <c r="G27" i="16"/>
  <c r="G319" i="16"/>
  <c r="G218" i="16"/>
  <c r="G291" i="16"/>
  <c r="G221" i="16"/>
  <c r="G62" i="16"/>
  <c r="G202" i="16"/>
  <c r="G272" i="16"/>
  <c r="G240" i="16"/>
  <c r="G122" i="16"/>
  <c r="G257" i="16"/>
  <c r="G308" i="16"/>
  <c r="G108" i="16"/>
  <c r="G42" i="16"/>
  <c r="G140" i="16"/>
  <c r="G125" i="16"/>
  <c r="G200" i="16"/>
  <c r="G294" i="16"/>
  <c r="G93" i="16"/>
  <c r="G194" i="16"/>
  <c r="G187" i="16"/>
  <c r="G246" i="16"/>
  <c r="G301" i="16"/>
  <c r="G155" i="16"/>
  <c r="G318" i="16"/>
  <c r="G239" i="16"/>
  <c r="G222" i="16"/>
  <c r="G37" i="16"/>
  <c r="G139" i="16"/>
  <c r="G171" i="16"/>
  <c r="G231" i="16"/>
  <c r="G98" i="16"/>
  <c r="G273" i="16"/>
  <c r="G305" i="16"/>
  <c r="G96" i="16"/>
  <c r="G147" i="16"/>
  <c r="G217" i="16"/>
  <c r="G224" i="16"/>
  <c r="G43" i="16"/>
  <c r="G348" i="16"/>
  <c r="G238" i="16"/>
  <c r="G86" i="16"/>
  <c r="G331" i="16"/>
  <c r="G322" i="16"/>
  <c r="G111" i="16"/>
  <c r="G276" i="16"/>
  <c r="G205" i="16"/>
  <c r="G69" i="16"/>
  <c r="G73" i="16"/>
  <c r="G3" i="16"/>
  <c r="G313" i="16"/>
  <c r="G228" i="16"/>
  <c r="G263" i="16"/>
  <c r="G183" i="16"/>
  <c r="G209" i="16"/>
  <c r="G95" i="16"/>
  <c r="G250" i="16"/>
  <c r="G44" i="16"/>
  <c r="G315" i="16"/>
  <c r="G150" i="16"/>
  <c r="G41" i="16"/>
  <c r="G206" i="16"/>
  <c r="G303" i="16"/>
  <c r="G266" i="16"/>
  <c r="G142" i="16"/>
  <c r="G215" i="16"/>
  <c r="G51" i="16"/>
  <c r="G132" i="16"/>
  <c r="G60" i="16"/>
  <c r="G185" i="16"/>
  <c r="G236" i="16"/>
  <c r="G290" i="16"/>
  <c r="G230" i="16"/>
  <c r="G149" i="16"/>
  <c r="G264" i="16"/>
  <c r="G211" i="16"/>
  <c r="G114" i="16"/>
  <c r="G314" i="16"/>
  <c r="G53" i="16"/>
  <c r="G295" i="16"/>
  <c r="G196" i="16"/>
  <c r="G118" i="16"/>
  <c r="G267" i="16"/>
  <c r="G103" i="16"/>
  <c r="G193" i="16"/>
  <c r="G199" i="16"/>
  <c r="G260" i="16"/>
  <c r="G77" i="16"/>
  <c r="G343" i="16"/>
  <c r="G289" i="16"/>
  <c r="G136" i="16"/>
  <c r="G324" i="16"/>
  <c r="G339" i="16"/>
  <c r="G80" i="16"/>
  <c r="G56" i="16"/>
  <c r="G120" i="16"/>
  <c r="G97" i="16"/>
  <c r="G166" i="16"/>
  <c r="G152" i="16"/>
  <c r="G138" i="16"/>
  <c r="G169" i="16"/>
  <c r="G117" i="16"/>
  <c r="G61" i="16"/>
  <c r="G31" i="16"/>
  <c r="G146" i="16"/>
  <c r="G112" i="16"/>
  <c r="G283" i="16"/>
  <c r="G265" i="16"/>
  <c r="G85" i="16"/>
  <c r="G94" i="16"/>
  <c r="G325" i="16"/>
  <c r="G170" i="16"/>
  <c r="G271" i="16"/>
  <c r="G340" i="16"/>
  <c r="G261" i="16"/>
  <c r="G204" i="16"/>
  <c r="G219" i="16"/>
  <c r="G131" i="16"/>
  <c r="G176" i="16"/>
  <c r="G121" i="16"/>
  <c r="G72" i="16"/>
  <c r="G338" i="16"/>
  <c r="G26" i="16"/>
  <c r="G244" i="16"/>
  <c r="G179" i="16"/>
  <c r="G164" i="16"/>
  <c r="G285" i="16"/>
  <c r="G220" i="16"/>
  <c r="G88" i="16"/>
  <c r="G87" i="16"/>
  <c r="G63" i="16"/>
  <c r="G105" i="16"/>
  <c r="G213" i="16"/>
  <c r="G74" i="16"/>
  <c r="G133" i="16"/>
  <c r="G245" i="16"/>
  <c r="G124" i="16"/>
  <c r="G36" i="16"/>
  <c r="G145" i="16"/>
  <c r="G54" i="16"/>
  <c r="G78" i="16"/>
  <c r="G249" i="16"/>
  <c r="G33" i="16"/>
  <c r="G165" i="16"/>
  <c r="G327" i="16"/>
  <c r="G107" i="16"/>
  <c r="G157" i="16"/>
  <c r="G22" i="16"/>
  <c r="G102" i="16"/>
  <c r="G167" i="16"/>
  <c r="G316" i="16"/>
  <c r="G306" i="16"/>
  <c r="G168" i="16"/>
  <c r="G156" i="16"/>
  <c r="G35" i="16"/>
  <c r="G2" i="16"/>
  <c r="G201" i="16"/>
  <c r="G247" i="16"/>
  <c r="G253" i="16"/>
  <c r="G71" i="16"/>
  <c r="G278" i="16"/>
  <c r="G268" i="16"/>
  <c r="G299" i="16"/>
  <c r="G159" i="16"/>
  <c r="G45" i="16"/>
  <c r="G46" i="16"/>
  <c r="G68" i="16"/>
  <c r="G326" i="16"/>
  <c r="G297" i="16"/>
  <c r="G83" i="16"/>
  <c r="G39" i="16"/>
  <c r="G101" i="16"/>
  <c r="G328" i="16"/>
  <c r="G126" i="16"/>
  <c r="G64" i="16"/>
  <c r="G346" i="16"/>
  <c r="G38" i="16"/>
  <c r="G275" i="16"/>
  <c r="G307" i="16"/>
  <c r="G163" i="16"/>
  <c r="G342" i="16"/>
  <c r="G20" i="16"/>
  <c r="G115" i="16"/>
  <c r="G287" i="16"/>
  <c r="G104" i="16"/>
  <c r="G21" i="16"/>
  <c r="G174" i="16"/>
  <c r="G232" i="16"/>
  <c r="G158" i="16"/>
  <c r="G52" i="16"/>
  <c r="G255" i="16"/>
  <c r="G189" i="16"/>
  <c r="G243" i="16"/>
  <c r="G123" i="16"/>
  <c r="G161" i="16"/>
  <c r="G274" i="16"/>
  <c r="G92" i="16"/>
  <c r="G226" i="16"/>
  <c r="G128" i="16"/>
  <c r="G259" i="16"/>
  <c r="G300" i="16"/>
  <c r="G154" i="16"/>
  <c r="G29" i="16"/>
  <c r="G233" i="16"/>
  <c r="G345" i="16"/>
  <c r="G347" i="16"/>
  <c r="G235" i="16"/>
  <c r="G317" i="16"/>
  <c r="G184" i="16"/>
  <c r="G335" i="16"/>
  <c r="G344" i="16"/>
  <c r="G208" i="16"/>
  <c r="G332" i="16"/>
  <c r="G251" i="16"/>
  <c r="G262" i="16"/>
  <c r="G292" i="16"/>
  <c r="G203" i="16"/>
  <c r="G242" i="16"/>
  <c r="G258" i="16"/>
  <c r="G329" i="16"/>
  <c r="G76" i="16"/>
  <c r="G248" i="16"/>
  <c r="G48" i="16"/>
  <c r="G30" i="16"/>
  <c r="G279" i="16"/>
  <c r="G223" i="16"/>
  <c r="G148" i="16"/>
  <c r="G70" i="16"/>
  <c r="G212" i="16"/>
  <c r="G19" i="16"/>
  <c r="G186" i="16"/>
  <c r="G198" i="16"/>
  <c r="G277" i="16"/>
  <c r="G113" i="16"/>
  <c r="G79" i="16"/>
  <c r="G349" i="16"/>
  <c r="G320" i="16"/>
  <c r="G50" i="16"/>
  <c r="G302" i="16"/>
  <c r="G119" i="16"/>
  <c r="G191" i="16"/>
  <c r="G330" i="16"/>
  <c r="G175" i="16"/>
  <c r="G89" i="16"/>
  <c r="G67" i="16"/>
  <c r="G234" i="16"/>
  <c r="G65" i="16"/>
  <c r="G334" i="16"/>
  <c r="G137" i="16"/>
  <c r="G6" i="16"/>
  <c r="G336" i="16"/>
  <c r="G321" i="16"/>
  <c r="G116" i="16"/>
  <c r="G252" i="16"/>
  <c r="G143" i="16"/>
  <c r="G144" i="16"/>
  <c r="G227" i="16"/>
  <c r="G310" i="16"/>
  <c r="G241" i="16"/>
  <c r="G229" i="16"/>
  <c r="G55" i="16"/>
  <c r="G333" i="16"/>
  <c r="G90" i="16"/>
  <c r="G188" i="16"/>
  <c r="G207" i="16"/>
  <c r="G110" i="16"/>
  <c r="G181" i="16"/>
  <c r="G197" i="16"/>
  <c r="G190" i="16"/>
  <c r="G256" i="16"/>
  <c r="G178" i="16"/>
  <c r="E295" i="16"/>
  <c r="E332" i="16"/>
  <c r="E22" i="16"/>
  <c r="H49" i="16"/>
  <c r="H288" i="16"/>
  <c r="H151" i="16"/>
  <c r="E112" i="16"/>
  <c r="H237" i="16"/>
  <c r="H23" i="16"/>
  <c r="E178" i="16"/>
  <c r="E237" i="16"/>
  <c r="E224" i="16"/>
  <c r="H298" i="16"/>
  <c r="H40" i="16"/>
  <c r="H100" i="16"/>
  <c r="E129" i="16"/>
  <c r="E300" i="16"/>
  <c r="H210" i="16"/>
  <c r="E284" i="16"/>
  <c r="H284" i="16"/>
  <c r="H309" i="16"/>
  <c r="H281" i="16"/>
  <c r="H254" i="16"/>
  <c r="E214" i="16"/>
  <c r="H319" i="16"/>
  <c r="E37" i="16"/>
  <c r="E157" i="16"/>
  <c r="E339" i="16"/>
  <c r="E249" i="16"/>
  <c r="E88" i="16"/>
  <c r="H200" i="16"/>
  <c r="E232" i="16"/>
  <c r="H187" i="16"/>
  <c r="E104" i="16"/>
  <c r="E123" i="16"/>
  <c r="E185" i="16"/>
  <c r="H98" i="16"/>
  <c r="E61" i="16"/>
  <c r="E306" i="16"/>
  <c r="E79" i="16"/>
  <c r="H348" i="16"/>
  <c r="E299" i="16"/>
  <c r="E267" i="16"/>
  <c r="H69" i="16"/>
  <c r="H313" i="16"/>
  <c r="E96" i="16"/>
  <c r="H315" i="16"/>
  <c r="H303" i="16"/>
  <c r="H51" i="16"/>
  <c r="E74" i="16"/>
  <c r="E308" i="16"/>
  <c r="E193" i="16"/>
  <c r="H114" i="16"/>
  <c r="E269" i="16"/>
  <c r="E341" i="16"/>
  <c r="E105" i="16"/>
  <c r="H260" i="16"/>
  <c r="H324" i="16"/>
  <c r="H56" i="16"/>
  <c r="E158" i="16"/>
  <c r="H138" i="16"/>
  <c r="H146" i="16"/>
  <c r="G12" i="16"/>
  <c r="E41" i="16"/>
  <c r="H261" i="16"/>
  <c r="H121" i="16"/>
  <c r="H26" i="16"/>
  <c r="H164" i="16"/>
  <c r="E346" i="16"/>
  <c r="E83" i="16"/>
  <c r="E345" i="16"/>
  <c r="E142" i="16"/>
  <c r="H133" i="16"/>
  <c r="E271" i="16"/>
  <c r="E278" i="16"/>
  <c r="E40" i="16"/>
  <c r="H157" i="16"/>
  <c r="E212" i="16"/>
  <c r="E192" i="16"/>
  <c r="E145" i="16"/>
  <c r="H71" i="16"/>
  <c r="H39" i="16"/>
  <c r="H104" i="16"/>
  <c r="H123" i="16"/>
  <c r="E68" i="16"/>
  <c r="E304" i="16"/>
  <c r="E13" i="16"/>
  <c r="E204" i="16"/>
  <c r="E230" i="16"/>
  <c r="H89" i="16"/>
  <c r="H310" i="16"/>
  <c r="H178" i="16"/>
  <c r="H128" i="16"/>
  <c r="E163" i="16"/>
  <c r="H262" i="16"/>
  <c r="E286" i="16"/>
  <c r="E188" i="16"/>
  <c r="E200" i="16"/>
  <c r="H119" i="16"/>
  <c r="H67" i="16"/>
  <c r="H241" i="16"/>
  <c r="E141" i="16"/>
  <c r="E154" i="16"/>
  <c r="E342" i="16"/>
  <c r="E161" i="16"/>
  <c r="H207" i="16"/>
  <c r="H234" i="16"/>
  <c r="E15" i="16"/>
  <c r="E39" i="16"/>
  <c r="H229" i="16"/>
  <c r="E165" i="16"/>
  <c r="H130" i="16"/>
  <c r="H129" i="16"/>
  <c r="H312" i="16"/>
  <c r="E7" i="16"/>
  <c r="H25" i="16"/>
  <c r="H286" i="16"/>
  <c r="H172" i="16"/>
  <c r="H4" i="16"/>
  <c r="H47" i="16"/>
  <c r="E236" i="16"/>
  <c r="E255" i="16"/>
  <c r="H141" i="16"/>
  <c r="E217" i="16"/>
  <c r="E213" i="16"/>
  <c r="H81" i="16"/>
  <c r="E110" i="16"/>
  <c r="H109" i="16"/>
  <c r="H135" i="16"/>
  <c r="H311" i="16"/>
  <c r="E33" i="16"/>
  <c r="H24" i="16"/>
  <c r="G13" i="16"/>
  <c r="H59" i="16"/>
  <c r="E187" i="16"/>
  <c r="H62" i="16"/>
  <c r="E38" i="16"/>
  <c r="E305" i="16"/>
  <c r="E319" i="16"/>
  <c r="H140" i="16"/>
  <c r="H294" i="16"/>
  <c r="G9" i="16"/>
  <c r="E292" i="16"/>
  <c r="H155" i="16"/>
  <c r="H222" i="16"/>
  <c r="H139" i="16"/>
  <c r="E19" i="16"/>
  <c r="E57" i="16"/>
  <c r="H96" i="16"/>
  <c r="H147" i="16"/>
  <c r="E285" i="16"/>
  <c r="H322" i="16"/>
  <c r="E149" i="16"/>
  <c r="E309" i="16"/>
  <c r="E131" i="16"/>
  <c r="H95" i="16"/>
  <c r="H150" i="16"/>
  <c r="E235" i="16"/>
  <c r="E8" i="16"/>
  <c r="H185" i="16"/>
  <c r="H290" i="16"/>
  <c r="H149" i="16"/>
  <c r="H314" i="16"/>
  <c r="E245" i="16"/>
  <c r="H196" i="16"/>
  <c r="H193" i="16"/>
  <c r="E231" i="16"/>
  <c r="E190" i="16"/>
  <c r="E211" i="16"/>
  <c r="E67" i="16"/>
  <c r="H169" i="16"/>
  <c r="H112" i="16"/>
  <c r="E314" i="16"/>
  <c r="H170" i="16"/>
  <c r="H204" i="16"/>
  <c r="E65" i="16"/>
  <c r="H244" i="16"/>
  <c r="H285" i="16"/>
  <c r="E86" i="16"/>
  <c r="E120" i="16"/>
  <c r="H105" i="16"/>
  <c r="H74" i="16"/>
  <c r="H245" i="16"/>
  <c r="H36" i="16"/>
  <c r="E170" i="16"/>
  <c r="H33" i="16"/>
  <c r="H22" i="16"/>
  <c r="E133" i="16"/>
  <c r="E327" i="16"/>
  <c r="H2" i="16"/>
  <c r="H278" i="16"/>
  <c r="H45" i="16"/>
  <c r="H297" i="16"/>
  <c r="H101" i="16"/>
  <c r="H126" i="16"/>
  <c r="H275" i="16"/>
  <c r="E144" i="16"/>
  <c r="E243" i="16"/>
  <c r="H52" i="16"/>
  <c r="H161" i="16"/>
  <c r="E294" i="16"/>
  <c r="E73" i="16"/>
  <c r="H212" i="16"/>
  <c r="E124" i="16"/>
  <c r="E95" i="16"/>
  <c r="E25" i="16"/>
  <c r="H191" i="16"/>
  <c r="H321" i="16"/>
  <c r="H137" i="16"/>
  <c r="H256" i="16"/>
  <c r="H280" i="16"/>
  <c r="H106" i="16"/>
  <c r="E280" i="16"/>
  <c r="E5" i="16"/>
  <c r="E20" i="16"/>
  <c r="H270" i="16"/>
  <c r="E322" i="16"/>
  <c r="H350" i="16"/>
  <c r="G10" i="16"/>
  <c r="E262" i="16"/>
  <c r="H304" i="16"/>
  <c r="E242" i="16"/>
  <c r="E117" i="16"/>
  <c r="H28" i="16"/>
  <c r="E301" i="16"/>
  <c r="H91" i="16"/>
  <c r="E69" i="16"/>
  <c r="E18" i="16"/>
  <c r="E186" i="16"/>
  <c r="H34" i="16"/>
  <c r="E34" i="16"/>
  <c r="H5" i="16"/>
  <c r="E325" i="16"/>
  <c r="H337" i="16"/>
  <c r="E321" i="16"/>
  <c r="H202" i="16"/>
  <c r="E229" i="16"/>
  <c r="H257" i="16"/>
  <c r="H308" i="16"/>
  <c r="H125" i="16"/>
  <c r="E247" i="16"/>
  <c r="E14" i="16"/>
  <c r="H246" i="16"/>
  <c r="E265" i="16"/>
  <c r="E223" i="16"/>
  <c r="E194" i="16"/>
  <c r="E316" i="16"/>
  <c r="E36" i="16"/>
  <c r="E241" i="16"/>
  <c r="H217" i="16"/>
  <c r="E82" i="16"/>
  <c r="E53" i="16"/>
  <c r="E135" i="16"/>
  <c r="E254" i="16"/>
  <c r="H228" i="16"/>
  <c r="H250" i="16"/>
  <c r="E183" i="16"/>
  <c r="H266" i="16"/>
  <c r="E238" i="16"/>
  <c r="H236" i="16"/>
  <c r="E248" i="16"/>
  <c r="H264" i="16"/>
  <c r="E302" i="16"/>
  <c r="H295" i="16"/>
  <c r="E210" i="16"/>
  <c r="E66" i="16"/>
  <c r="H77" i="16"/>
  <c r="E48" i="16"/>
  <c r="E258" i="16"/>
  <c r="E221" i="16"/>
  <c r="H117" i="16"/>
  <c r="E75" i="16"/>
  <c r="H94" i="16"/>
  <c r="E58" i="16"/>
  <c r="E176" i="16"/>
  <c r="E203" i="16"/>
  <c r="H179" i="16"/>
  <c r="E244" i="16"/>
  <c r="E132" i="16"/>
  <c r="E307" i="16"/>
  <c r="E335" i="16"/>
  <c r="E253" i="16"/>
  <c r="E29" i="16"/>
  <c r="H145" i="16"/>
  <c r="E277" i="16"/>
  <c r="H165" i="16"/>
  <c r="E106" i="16"/>
  <c r="E99" i="16"/>
  <c r="E189" i="16"/>
  <c r="H201" i="16"/>
  <c r="H268" i="16"/>
  <c r="E146" i="16"/>
  <c r="E59" i="16"/>
  <c r="E119" i="16"/>
  <c r="E168" i="16"/>
  <c r="H307" i="16"/>
  <c r="E23" i="16"/>
  <c r="H21" i="16"/>
  <c r="E171" i="16"/>
  <c r="E349" i="16"/>
  <c r="E333" i="16"/>
  <c r="E338" i="16"/>
  <c r="E134" i="16"/>
  <c r="E81" i="16"/>
  <c r="H235" i="16"/>
  <c r="H335" i="16"/>
  <c r="H208" i="16"/>
  <c r="E273" i="16"/>
  <c r="H292" i="16"/>
  <c r="E148" i="16"/>
  <c r="E177" i="16"/>
  <c r="H48" i="16"/>
  <c r="E181" i="16"/>
  <c r="H19" i="16"/>
  <c r="H79" i="16"/>
  <c r="H320" i="16"/>
  <c r="E264" i="16"/>
  <c r="H334" i="16"/>
  <c r="G16" i="16"/>
  <c r="H65" i="16"/>
  <c r="H55" i="16"/>
  <c r="H32" i="16"/>
  <c r="E239" i="16"/>
  <c r="E64" i="16"/>
  <c r="E9" i="16"/>
  <c r="H82" i="16"/>
  <c r="E42" i="16"/>
  <c r="E50" i="16"/>
  <c r="H341" i="16"/>
  <c r="H127" i="16"/>
  <c r="H75" i="16"/>
  <c r="E303" i="16"/>
  <c r="H195" i="16"/>
  <c r="E324" i="16"/>
  <c r="H58" i="16"/>
  <c r="H173" i="16"/>
  <c r="E116" i="16"/>
  <c r="E208" i="16"/>
  <c r="E56" i="16"/>
  <c r="E87" i="16"/>
  <c r="H214" i="16"/>
  <c r="H84" i="16"/>
  <c r="E337" i="16"/>
  <c r="E250" i="16"/>
  <c r="H27" i="16"/>
  <c r="H218" i="16"/>
  <c r="H272" i="16"/>
  <c r="E103" i="16"/>
  <c r="E164" i="16"/>
  <c r="E282" i="16"/>
  <c r="E140" i="16"/>
  <c r="E198" i="16"/>
  <c r="E219" i="16"/>
  <c r="E51" i="16"/>
  <c r="H318" i="16"/>
  <c r="E151" i="16"/>
  <c r="H171" i="16"/>
  <c r="E196" i="16"/>
  <c r="H305" i="16"/>
  <c r="E31" i="16"/>
  <c r="E52" i="16"/>
  <c r="H238" i="16"/>
  <c r="H111" i="16"/>
  <c r="E107" i="16"/>
  <c r="E3" i="16"/>
  <c r="H263" i="16"/>
  <c r="E291" i="16"/>
  <c r="H41" i="16"/>
  <c r="H142" i="16"/>
  <c r="H132" i="16"/>
  <c r="E182" i="16"/>
  <c r="H230" i="16"/>
  <c r="E317" i="16"/>
  <c r="E227" i="16"/>
  <c r="E169" i="16"/>
  <c r="H118" i="16"/>
  <c r="E266" i="16"/>
  <c r="H343" i="16"/>
  <c r="H339" i="16"/>
  <c r="E92" i="16"/>
  <c r="H97" i="16"/>
  <c r="E206" i="16"/>
  <c r="H283" i="16"/>
  <c r="H325" i="16"/>
  <c r="G18" i="16"/>
  <c r="H219" i="16"/>
  <c r="H72" i="16"/>
  <c r="E191" i="16"/>
  <c r="E246" i="16"/>
  <c r="H220" i="16"/>
  <c r="H87" i="16"/>
  <c r="E220" i="16"/>
  <c r="E17" i="16"/>
  <c r="E201" i="16"/>
  <c r="H54" i="16"/>
  <c r="H78" i="16"/>
  <c r="H327" i="16"/>
  <c r="E173" i="16"/>
  <c r="H167" i="16"/>
  <c r="H168" i="16"/>
  <c r="H247" i="16"/>
  <c r="E125" i="16"/>
  <c r="H46" i="16"/>
  <c r="E268" i="16"/>
  <c r="E27" i="16"/>
  <c r="H64" i="16"/>
  <c r="E44" i="16"/>
  <c r="H115" i="16"/>
  <c r="E127" i="16"/>
  <c r="H255" i="16"/>
  <c r="E139" i="16"/>
  <c r="E331" i="16"/>
  <c r="E35" i="16"/>
  <c r="E344" i="16"/>
  <c r="H29" i="16"/>
  <c r="H317" i="16"/>
  <c r="E6" i="16"/>
  <c r="E160" i="16"/>
  <c r="E77" i="16"/>
  <c r="E150" i="16"/>
  <c r="E98" i="16"/>
  <c r="H329" i="16"/>
  <c r="H30" i="16"/>
  <c r="H70" i="16"/>
  <c r="H186" i="16"/>
  <c r="E94" i="16"/>
  <c r="E234" i="16"/>
  <c r="H110" i="16"/>
  <c r="H177" i="16"/>
  <c r="H99" i="16"/>
  <c r="E152" i="16"/>
  <c r="E330" i="16"/>
  <c r="G7" i="16"/>
  <c r="E60" i="16"/>
  <c r="E156" i="16"/>
  <c r="H323" i="16"/>
  <c r="E261" i="16"/>
  <c r="E49" i="16"/>
  <c r="H160" i="16"/>
  <c r="H282" i="16"/>
  <c r="H134" i="16"/>
  <c r="H162" i="16"/>
  <c r="E84" i="16"/>
  <c r="E97" i="16"/>
  <c r="H192" i="16"/>
  <c r="E102" i="16"/>
  <c r="H66" i="16"/>
  <c r="E162" i="16"/>
  <c r="E115" i="16"/>
  <c r="E298" i="16"/>
  <c r="E136" i="16"/>
  <c r="E143" i="16"/>
  <c r="H291" i="16"/>
  <c r="H240" i="16"/>
  <c r="E270" i="16"/>
  <c r="E24" i="16"/>
  <c r="H108" i="16"/>
  <c r="E310" i="16"/>
  <c r="H93" i="16"/>
  <c r="E159" i="16"/>
  <c r="E179" i="16"/>
  <c r="H239" i="16"/>
  <c r="H37" i="16"/>
  <c r="E240" i="16"/>
  <c r="E205" i="16"/>
  <c r="E350" i="16"/>
  <c r="E91" i="16"/>
  <c r="H224" i="16"/>
  <c r="H86" i="16"/>
  <c r="H276" i="16"/>
  <c r="H205" i="16"/>
  <c r="H73" i="16"/>
  <c r="H183" i="16"/>
  <c r="E62" i="16"/>
  <c r="E180" i="16"/>
  <c r="H215" i="16"/>
  <c r="E251" i="16"/>
  <c r="E323" i="16"/>
  <c r="E329" i="16"/>
  <c r="E46" i="16"/>
  <c r="E85" i="16"/>
  <c r="E215" i="16"/>
  <c r="H267" i="16"/>
  <c r="H199" i="16"/>
  <c r="H289" i="16"/>
  <c r="E275" i="16"/>
  <c r="E313" i="16"/>
  <c r="H166" i="16"/>
  <c r="H61" i="16"/>
  <c r="H265" i="16"/>
  <c r="E312" i="16"/>
  <c r="H271" i="16"/>
  <c r="H131" i="16"/>
  <c r="E276" i="16"/>
  <c r="E293" i="16"/>
  <c r="E71" i="16"/>
  <c r="G17" i="16"/>
  <c r="H63" i="16"/>
  <c r="H213" i="16"/>
  <c r="E122" i="16"/>
  <c r="H124" i="16"/>
  <c r="E256" i="16"/>
  <c r="E216" i="16"/>
  <c r="E334" i="16"/>
  <c r="H102" i="16"/>
  <c r="H316" i="16"/>
  <c r="H156" i="16"/>
  <c r="H253" i="16"/>
  <c r="H299" i="16"/>
  <c r="H68" i="16"/>
  <c r="H83" i="16"/>
  <c r="H328" i="16"/>
  <c r="H346" i="16"/>
  <c r="H163" i="16"/>
  <c r="E63" i="16"/>
  <c r="H174" i="16"/>
  <c r="H189" i="16"/>
  <c r="E128" i="16"/>
  <c r="H274" i="16"/>
  <c r="E202" i="16"/>
  <c r="H154" i="16"/>
  <c r="H233" i="16"/>
  <c r="H184" i="16"/>
  <c r="E47" i="16"/>
  <c r="H332" i="16"/>
  <c r="E109" i="16"/>
  <c r="H203" i="16"/>
  <c r="E257" i="16"/>
  <c r="H76" i="16"/>
  <c r="H279" i="16"/>
  <c r="E274" i="16"/>
  <c r="H198" i="16"/>
  <c r="E336" i="16"/>
  <c r="H302" i="16"/>
  <c r="H330" i="16"/>
  <c r="H116" i="16"/>
  <c r="E166" i="16"/>
  <c r="E153" i="16"/>
  <c r="H216" i="16"/>
  <c r="H57" i="16"/>
  <c r="H153" i="16"/>
  <c r="E26" i="16"/>
  <c r="G8" i="16"/>
  <c r="E175" i="16"/>
  <c r="H180" i="16"/>
  <c r="G11" i="16"/>
  <c r="H296" i="16"/>
  <c r="E93" i="16"/>
  <c r="E137" i="16"/>
  <c r="H269" i="16"/>
  <c r="E78" i="16"/>
  <c r="H182" i="16"/>
  <c r="E315" i="16"/>
  <c r="E195" i="16"/>
  <c r="H225" i="16"/>
  <c r="E16" i="16"/>
  <c r="E225" i="16"/>
  <c r="H293" i="16"/>
  <c r="E209" i="16"/>
  <c r="E130" i="16"/>
  <c r="H221" i="16"/>
  <c r="E2" i="16"/>
  <c r="H122" i="16"/>
  <c r="E233" i="16"/>
  <c r="H42" i="16"/>
  <c r="E228" i="16"/>
  <c r="H194" i="16"/>
  <c r="E155" i="16"/>
  <c r="H301" i="16"/>
  <c r="G15" i="16"/>
  <c r="E111" i="16"/>
  <c r="H231" i="16"/>
  <c r="H273" i="16"/>
  <c r="E318" i="16"/>
  <c r="E218" i="16"/>
  <c r="H43" i="16"/>
  <c r="H331" i="16"/>
  <c r="E118" i="16"/>
  <c r="E113" i="16"/>
  <c r="H3" i="16"/>
  <c r="H209" i="16"/>
  <c r="H44" i="16"/>
  <c r="H206" i="16"/>
  <c r="E55" i="16"/>
  <c r="H60" i="16"/>
  <c r="E90" i="16"/>
  <c r="E10" i="16"/>
  <c r="H211" i="16"/>
  <c r="H53" i="16"/>
  <c r="E89" i="16"/>
  <c r="H103" i="16"/>
  <c r="E296" i="16"/>
  <c r="H136" i="16"/>
  <c r="H80" i="16"/>
  <c r="H120" i="16"/>
  <c r="H152" i="16"/>
  <c r="H31" i="16"/>
  <c r="H85" i="16"/>
  <c r="E172" i="16"/>
  <c r="H340" i="16"/>
  <c r="H176" i="16"/>
  <c r="H338" i="16"/>
  <c r="E101" i="16"/>
  <c r="E260" i="16"/>
  <c r="H88" i="16"/>
  <c r="E343" i="16"/>
  <c r="E11" i="16"/>
  <c r="E340" i="16"/>
  <c r="E326" i="16"/>
  <c r="E252" i="16"/>
  <c r="H249" i="16"/>
  <c r="H107" i="16"/>
  <c r="E54" i="16"/>
  <c r="H306" i="16"/>
  <c r="H35" i="16"/>
  <c r="E272" i="16"/>
  <c r="E289" i="16"/>
  <c r="H326" i="16"/>
  <c r="E287" i="16"/>
  <c r="E222" i="16"/>
  <c r="H38" i="16"/>
  <c r="H342" i="16"/>
  <c r="H287" i="16"/>
  <c r="H232" i="16"/>
  <c r="E4" i="16"/>
  <c r="E167" i="16"/>
  <c r="H92" i="16"/>
  <c r="H259" i="16"/>
  <c r="E174" i="16"/>
  <c r="H345" i="16"/>
  <c r="E226" i="16"/>
  <c r="E45" i="16"/>
  <c r="H251" i="16"/>
  <c r="E32" i="16"/>
  <c r="E328" i="16"/>
  <c r="H258" i="16"/>
  <c r="E70" i="16"/>
  <c r="H223" i="16"/>
  <c r="E311" i="16"/>
  <c r="E30" i="16"/>
  <c r="H349" i="16"/>
  <c r="E281" i="16"/>
  <c r="E320" i="16"/>
  <c r="E76" i="16"/>
  <c r="E263" i="16"/>
  <c r="H6" i="16"/>
  <c r="H252" i="16"/>
  <c r="H227" i="16"/>
  <c r="E126" i="16"/>
  <c r="H333" i="16"/>
  <c r="H197" i="16"/>
  <c r="E197" i="16"/>
  <c r="H159" i="16"/>
  <c r="E288" i="16"/>
  <c r="E43" i="16"/>
  <c r="E184" i="16"/>
  <c r="H20" i="16"/>
  <c r="H158" i="16"/>
  <c r="H243" i="16"/>
  <c r="H226" i="16"/>
  <c r="G14" i="16"/>
  <c r="H347" i="16"/>
  <c r="E108" i="16"/>
  <c r="E348" i="16"/>
  <c r="E28" i="16"/>
  <c r="H242" i="16"/>
  <c r="E121" i="16"/>
  <c r="H148" i="16"/>
  <c r="H277" i="16"/>
  <c r="E259" i="16"/>
  <c r="E12" i="16"/>
  <c r="E207" i="16"/>
  <c r="H336" i="16"/>
  <c r="H143" i="16"/>
  <c r="E72" i="16"/>
  <c r="H90" i="16"/>
  <c r="E283" i="16"/>
  <c r="E80" i="16"/>
  <c r="H300" i="16"/>
  <c r="E21" i="16"/>
  <c r="H344" i="16"/>
  <c r="E199" i="16"/>
  <c r="H248" i="16"/>
  <c r="H113" i="16"/>
  <c r="H175" i="16"/>
  <c r="E114" i="16"/>
  <c r="E279" i="16"/>
  <c r="E100" i="16"/>
  <c r="H188" i="16"/>
  <c r="E347" i="16"/>
  <c r="H144" i="16"/>
  <c r="E290" i="16"/>
  <c r="H50" i="16"/>
  <c r="E147" i="16"/>
  <c r="E138" i="16"/>
  <c r="H190" i="16"/>
  <c r="E297" i="16"/>
  <c r="H181" i="16"/>
  <c r="H14" i="16"/>
  <c r="H15" i="16"/>
  <c r="H11" i="16"/>
  <c r="H8" i="16"/>
  <c r="H17" i="16"/>
  <c r="H7" i="16"/>
  <c r="H12" i="16"/>
  <c r="H18" i="16"/>
  <c r="H16" i="16"/>
  <c r="H10" i="16"/>
  <c r="H9" i="16"/>
  <c r="H13" i="16"/>
</calcChain>
</file>

<file path=xl/sharedStrings.xml><?xml version="1.0" encoding="utf-8"?>
<sst xmlns="http://schemas.openxmlformats.org/spreadsheetml/2006/main" count="227" uniqueCount="227">
  <si>
    <t>sat_name</t>
  </si>
  <si>
    <t>gs_cnt</t>
  </si>
  <si>
    <t>part_cnt</t>
  </si>
  <si>
    <t>comp_cnt</t>
  </si>
  <si>
    <t>bus_cnt</t>
  </si>
  <si>
    <t>tsen_cnt</t>
  </si>
  <si>
    <t>rw_cnt</t>
  </si>
  <si>
    <t>strg_cnt</t>
  </si>
  <si>
    <t>batt_cnt</t>
  </si>
  <si>
    <t>ssen_cnt</t>
  </si>
  <si>
    <t>imu_cnt</t>
  </si>
  <si>
    <t>mtr_cnt</t>
  </si>
  <si>
    <t>cpu_cnt</t>
  </si>
  <si>
    <t>pload_cnt</t>
  </si>
  <si>
    <t>part_idx</t>
  </si>
  <si>
    <t>part_name</t>
  </si>
  <si>
    <t>part_type</t>
  </si>
  <si>
    <t>part_cidx</t>
  </si>
  <si>
    <t>part_mass</t>
  </si>
  <si>
    <t>part_emi</t>
  </si>
  <si>
    <t>part_abs</t>
  </si>
  <si>
    <t>part_dim</t>
  </si>
  <si>
    <t>part_hcap</t>
  </si>
  <si>
    <t>part_hcon</t>
  </si>
  <si>
    <t>part_area</t>
  </si>
  <si>
    <t>part_temp</t>
  </si>
  <si>
    <t>part_heat</t>
  </si>
  <si>
    <t>part_pnt_cnt</t>
  </si>
  <si>
    <t>part_pnt_000[0]</t>
  </si>
  <si>
    <t>part_pnt_000[1]</t>
  </si>
  <si>
    <t>part_pnt_000[2]</t>
  </si>
  <si>
    <t>part_pnt_001[0]</t>
  </si>
  <si>
    <t>part_pnt_001[1]</t>
  </si>
  <si>
    <t>part_pnt_001[2]</t>
  </si>
  <si>
    <t>part_pnt_002[0]</t>
  </si>
  <si>
    <t>part_pnt_002[1]</t>
  </si>
  <si>
    <t>part_pnt_002[2]</t>
  </si>
  <si>
    <t>part_pnt_003[0]</t>
  </si>
  <si>
    <t>part_pnt_003[1]</t>
  </si>
  <si>
    <t>part_pnt_003[2]</t>
  </si>
  <si>
    <t>part_pnt_004[0]</t>
  </si>
  <si>
    <t>part_pnt_004[1]</t>
  </si>
  <si>
    <t>part_pnt_004[2]</t>
  </si>
  <si>
    <t>part_pnt_005[0]</t>
  </si>
  <si>
    <t>part_pnt_005[1]</t>
  </si>
  <si>
    <t>part_pnt_005[2]</t>
  </si>
  <si>
    <t>part_pnt_006[0]</t>
  </si>
  <si>
    <t>part_pnt_006[1]</t>
  </si>
  <si>
    <t>part_pnt_006[2]</t>
  </si>
  <si>
    <t>part_pnt_007[0]</t>
  </si>
  <si>
    <t>part_pnt_007[1]</t>
  </si>
  <si>
    <t>part_pnt_007[2]</t>
  </si>
  <si>
    <t>comp_idx</t>
  </si>
  <si>
    <t>comp_type</t>
  </si>
  <si>
    <t>comp_didx</t>
  </si>
  <si>
    <t>comp_pidx</t>
  </si>
  <si>
    <t>comp_bidx</t>
  </si>
  <si>
    <t>comp_namp</t>
  </si>
  <si>
    <t>comp_nvolt</t>
  </si>
  <si>
    <t>comp_amp</t>
  </si>
  <si>
    <t>comp_volt</t>
  </si>
  <si>
    <t>comp_temp</t>
  </si>
  <si>
    <t>comp_on</t>
  </si>
  <si>
    <t>bus_idx</t>
  </si>
  <si>
    <t>bus_amp</t>
  </si>
  <si>
    <t>bus_volt</t>
  </si>
  <si>
    <t>tsen_idx</t>
  </si>
  <si>
    <t>tsen_temp</t>
  </si>
  <si>
    <t>batt_idx</t>
  </si>
  <si>
    <t>batt_cidx</t>
  </si>
  <si>
    <t>batt_cap</t>
  </si>
  <si>
    <t>batt_eff</t>
  </si>
  <si>
    <t>batt_lev</t>
  </si>
  <si>
    <t>gs_idx</t>
  </si>
  <si>
    <t>gs_name</t>
  </si>
  <si>
    <t>gs_pos_lat</t>
  </si>
  <si>
    <t>gs_pos_lon</t>
  </si>
  <si>
    <t>gs_pos_alt</t>
  </si>
  <si>
    <t>gs_min</t>
  </si>
  <si>
    <t>gs_az</t>
  </si>
  <si>
    <t>gs_el</t>
  </si>
  <si>
    <t>rw_idx</t>
  </si>
  <si>
    <t>rw_cidx</t>
  </si>
  <si>
    <t>rw_algn_d_x</t>
  </si>
  <si>
    <t>rw_algn_d_y</t>
  </si>
  <si>
    <t>rw_algn_d_z</t>
  </si>
  <si>
    <t>rw_algn_w</t>
  </si>
  <si>
    <t>rw_mom[0]</t>
  </si>
  <si>
    <t>rw_mom[1]</t>
  </si>
  <si>
    <t>rw_mom[2]</t>
  </si>
  <si>
    <t>rw_max</t>
  </si>
  <si>
    <t>rw_omg</t>
  </si>
  <si>
    <t>rw_alp</t>
  </si>
  <si>
    <t>strg_idx</t>
  </si>
  <si>
    <t>strg_cidx</t>
  </si>
  <si>
    <t>strg_efi</t>
  </si>
  <si>
    <t>strg_efs</t>
  </si>
  <si>
    <t>strg_max</t>
  </si>
  <si>
    <t>strg_pow</t>
  </si>
  <si>
    <t>ssen_idx</t>
  </si>
  <si>
    <t>ssen_cidx</t>
  </si>
  <si>
    <t>ssen_algn_d_x</t>
  </si>
  <si>
    <t>ssen_algn_d_y</t>
  </si>
  <si>
    <t>ssen_algn_d_z</t>
  </si>
  <si>
    <t>ssen_algn_w</t>
  </si>
  <si>
    <t>ssen_qva</t>
  </si>
  <si>
    <t>ssen_qvb</t>
  </si>
  <si>
    <t>ssen_qvc</t>
  </si>
  <si>
    <t>ssen_qvd</t>
  </si>
  <si>
    <t>ssen_az</t>
  </si>
  <si>
    <t>ssen_el</t>
  </si>
  <si>
    <t>imu_idx</t>
  </si>
  <si>
    <t>imu_cidx</t>
  </si>
  <si>
    <t>imu_algn_d_x</t>
  </si>
  <si>
    <t>imu_algn_d_y</t>
  </si>
  <si>
    <t>imu_algn_d_z</t>
  </si>
  <si>
    <t>imu_algn_w</t>
  </si>
  <si>
    <t>imu_pos_s[0]</t>
  </si>
  <si>
    <t>imu_pos_s[1]</t>
  </si>
  <si>
    <t>imu_pos_s[2]</t>
  </si>
  <si>
    <t>imu_pos_a[0]</t>
  </si>
  <si>
    <t>imu_pos_a[1]</t>
  </si>
  <si>
    <t>imu_pos_a[2]</t>
  </si>
  <si>
    <t>imu_pos_v[0]</t>
  </si>
  <si>
    <t>imu_pos_v[1]</t>
  </si>
  <si>
    <t>imu_pos_v[2]</t>
  </si>
  <si>
    <t>imu_att_s_d_x</t>
  </si>
  <si>
    <t>imu_att_s_d_y</t>
  </si>
  <si>
    <t>imu_att_s_d_z</t>
  </si>
  <si>
    <t>imu_att_s_w</t>
  </si>
  <si>
    <t>imu_att_v[0]</t>
  </si>
  <si>
    <t>imu_att_v[1]</t>
  </si>
  <si>
    <t>imu_att_v[2]</t>
  </si>
  <si>
    <t>imu_att_a[0]</t>
  </si>
  <si>
    <t>imu_att_a[1]</t>
  </si>
  <si>
    <t>imu_att_a[2]</t>
  </si>
  <si>
    <t>imu_mag[0]</t>
  </si>
  <si>
    <t>imu_mag[1]</t>
  </si>
  <si>
    <t>im_mag[2]</t>
  </si>
  <si>
    <t>imu_cal_d_x</t>
  </si>
  <si>
    <t>imu_cal_d_y</t>
  </si>
  <si>
    <t>imu_cal_d_z</t>
  </si>
  <si>
    <t>imu_cal_w</t>
  </si>
  <si>
    <t>mtr_idx</t>
  </si>
  <si>
    <t>mtr_cidx</t>
  </si>
  <si>
    <t>mtr_algn_d_x</t>
  </si>
  <si>
    <t>mtr_algn_d_y</t>
  </si>
  <si>
    <t>mtr_algn_d_z</t>
  </si>
  <si>
    <t>mtr_algn_w</t>
  </si>
  <si>
    <t>mtr_mom[0]</t>
  </si>
  <si>
    <t>mtr_mom[1]</t>
  </si>
  <si>
    <t>mtr_mom[2]</t>
  </si>
  <si>
    <t>mtr_fld</t>
  </si>
  <si>
    <t>cpu_idx</t>
  </si>
  <si>
    <t>cpu_cidx</t>
  </si>
  <si>
    <t>cpu_load</t>
  </si>
  <si>
    <t>cpu_mem</t>
  </si>
  <si>
    <t>cpu_memf</t>
  </si>
  <si>
    <t>cpu_disk</t>
  </si>
  <si>
    <t>pload_idx</t>
  </si>
  <si>
    <t>pload_cidx</t>
  </si>
  <si>
    <t>pload_key_cnt</t>
  </si>
  <si>
    <t>pload_key_name[0]</t>
  </si>
  <si>
    <t>pload_key_name[1]</t>
  </si>
  <si>
    <t>pload_key_name[2]</t>
  </si>
  <si>
    <t>pload_key_name[3]</t>
  </si>
  <si>
    <t>pload_key_name[4]</t>
  </si>
  <si>
    <t>pload_key_name[5]</t>
  </si>
  <si>
    <t>pload_key_name[6]</t>
  </si>
  <si>
    <t>pload_key_name[7]</t>
  </si>
  <si>
    <t>pload_key_name[8]</t>
  </si>
  <si>
    <t>pload_key_name[9]</t>
  </si>
  <si>
    <t>pload_key_val[0]</t>
  </si>
  <si>
    <t>pload_key_val[1]</t>
  </si>
  <si>
    <t>pload_key_val[2]</t>
  </si>
  <si>
    <t>pload_key_val[3]</t>
  </si>
  <si>
    <t>pload_key_val[4]</t>
  </si>
  <si>
    <t>pload_key_val[5]</t>
  </si>
  <si>
    <t>pload_key_val[6]</t>
  </si>
  <si>
    <t>pload_key_val[7]</t>
  </si>
  <si>
    <t>pload_key_val[8]</t>
  </si>
  <si>
    <t>pload_key_val[9]</t>
  </si>
  <si>
    <t>gps_cnt</t>
  </si>
  <si>
    <t>gps_idx</t>
  </si>
  <si>
    <t>gps_cidx</t>
  </si>
  <si>
    <t>gps_pos_lat</t>
  </si>
  <si>
    <t>gps_pos_lon</t>
  </si>
  <si>
    <t>gps_pos_alt</t>
  </si>
  <si>
    <t>gps_vel[0]</t>
  </si>
  <si>
    <t>gps_vel[1]</t>
  </si>
  <si>
    <t>gps_vel[2]</t>
  </si>
  <si>
    <t>tsen_cidx</t>
  </si>
  <si>
    <t>tsen_stat</t>
  </si>
  <si>
    <t>Part Number</t>
  </si>
  <si>
    <t>Part Name</t>
  </si>
  <si>
    <t>Part Type</t>
  </si>
  <si>
    <t>Comp Type</t>
  </si>
  <si>
    <t>Component Number</t>
  </si>
  <si>
    <t>genericsat</t>
  </si>
  <si>
    <t>MCBH</t>
  </si>
  <si>
    <t>body</t>
  </si>
  <si>
    <t>arm1</t>
  </si>
  <si>
    <t>arm2</t>
  </si>
  <si>
    <t>arm3</t>
  </si>
  <si>
    <t>arm4</t>
  </si>
  <si>
    <t>motor1</t>
  </si>
  <si>
    <t>motor2</t>
  </si>
  <si>
    <t>motor3</t>
  </si>
  <si>
    <t>motor4</t>
  </si>
  <si>
    <t>gps</t>
  </si>
  <si>
    <t>imu</t>
  </si>
  <si>
    <t>cpu</t>
  </si>
  <si>
    <t>rover</t>
  </si>
  <si>
    <t>battery</t>
  </si>
  <si>
    <t>motr_idx</t>
  </si>
  <si>
    <t>motr_cidx</t>
  </si>
  <si>
    <t>motr_max</t>
  </si>
  <si>
    <t>motr_rat</t>
  </si>
  <si>
    <t>motr_spd</t>
  </si>
  <si>
    <t>swch_idx</t>
  </si>
  <si>
    <t>swch_cidx</t>
  </si>
  <si>
    <t>motr_cnt</t>
  </si>
  <si>
    <t>swch_cnt</t>
  </si>
  <si>
    <t>release</t>
  </si>
  <si>
    <t>deploy</t>
  </si>
  <si>
    <t>lander</t>
  </si>
  <si>
    <t>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</si>
</sst>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  <charset val="1"/>
    </font>
    <font>
      <b/>
      <sz val="10"/>
      <name val="Verdana"/>
      <family val="2"/>
      <charset val="1"/>
    </font>
    <font>
      <sz val="10"/>
      <name val="Verdana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top"/>
    </xf>
    <xf numFmtId="49" fontId="2" fillId="0" borderId="0" xfId="0" applyNumberFormat="1" applyFont="1" applyAlignment="1">
      <alignment vertical="top"/>
    </xf>
    <xf numFmtId="0" fontId="2" fillId="0" borderId="0" xfId="0" applyFont="1" applyAlignment="1">
      <alignment vertical="top"/>
    </xf>
    <xf numFmtId="49" fontId="0" fillId="0" borderId="0" xfId="0" applyNumberFormat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"/>
  <sheetViews>
    <sheetView workbookViewId="0">
      <selection activeCell="O2" sqref="O2"/>
    </sheetView>
  </sheetViews>
  <sheetFormatPr defaultRowHeight="12.75" x14ac:dyDescent="0.2"/>
  <cols>
    <col min="1" max="1" width="12" bestFit="1" customWidth="1"/>
    <col min="2" max="2" width="8.28515625" bestFit="1" customWidth="1"/>
    <col min="3" max="3" width="10.140625" bestFit="1" customWidth="1"/>
    <col min="4" max="4" width="11.5703125" bestFit="1" customWidth="1"/>
    <col min="5" max="5" width="9.5703125" bestFit="1" customWidth="1"/>
    <col min="6" max="6" width="10.42578125" bestFit="1" customWidth="1"/>
    <col min="7" max="7" width="8.42578125" bestFit="1" customWidth="1"/>
    <col min="8" max="8" width="10" bestFit="1" customWidth="1"/>
    <col min="9" max="9" width="10.140625" bestFit="1" customWidth="1"/>
    <col min="10" max="10" width="10.7109375" bestFit="1" customWidth="1"/>
    <col min="11" max="11" width="9.7109375" bestFit="1" customWidth="1"/>
    <col min="12" max="12" width="9.5703125" bestFit="1" customWidth="1"/>
    <col min="14" max="14" width="9.5703125" bestFit="1" customWidth="1"/>
    <col min="15" max="15" width="11.5703125" bestFit="1" customWidth="1"/>
    <col min="16" max="16" width="10.85546875" bestFit="1" customWidth="1"/>
    <col min="17" max="17" width="11.140625" bestFit="1" customWidth="1"/>
    <col min="18" max="1025" width="24.85546875"/>
  </cols>
  <sheetData>
    <row r="1" spans="1:1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182</v>
      </c>
      <c r="N1" s="1" t="s">
        <v>12</v>
      </c>
      <c r="O1" s="1" t="s">
        <v>13</v>
      </c>
      <c r="P1" s="1" t="s">
        <v>221</v>
      </c>
      <c r="Q1" s="1" t="s">
        <v>222</v>
      </c>
    </row>
    <row r="2" spans="1:17" x14ac:dyDescent="0.2">
      <c r="A2" s="2" t="s">
        <v>198</v>
      </c>
      <c r="B2" s="3">
        <f>COUNT(gs!A2:A2001)</f>
        <v>1</v>
      </c>
      <c r="C2" s="3">
        <f>COUNT(part!A2:A2001)</f>
        <v>17</v>
      </c>
      <c r="D2" s="3">
        <f>COUNT(comp!A2:A2001)</f>
        <v>12</v>
      </c>
      <c r="E2" s="3">
        <f>COUNT(bus!A2:A2001)</f>
        <v>1</v>
      </c>
      <c r="F2" s="3">
        <f>COUNT(tsen!A2:A2001)</f>
        <v>0</v>
      </c>
      <c r="G2" s="3">
        <f>COUNT(rw!A2:A2001)</f>
        <v>0</v>
      </c>
      <c r="H2" s="3">
        <f>COUNT(strg!A2:A2001)</f>
        <v>0</v>
      </c>
      <c r="I2" s="3">
        <f>COUNT(batt!A2:A2001)</f>
        <v>1</v>
      </c>
      <c r="J2" s="3">
        <f>COUNT(ssen!A2:A2001)</f>
        <v>0</v>
      </c>
      <c r="K2" s="3">
        <f>COUNT(imu!A2:A2001)</f>
        <v>1</v>
      </c>
      <c r="L2" s="3">
        <f>COUNT(mtr!A2:A2001)</f>
        <v>0</v>
      </c>
      <c r="M2" s="3">
        <f>COUNT(gps!A2:A2001)</f>
        <v>1</v>
      </c>
      <c r="N2" s="3">
        <f>COUNT(cpu!A2:A2001)</f>
        <v>1</v>
      </c>
      <c r="O2" s="3">
        <f>COUNT(pload!A2:A2001)</f>
        <v>2</v>
      </c>
      <c r="P2" s="3">
        <f>COUNT(motr!A2:A2001)</f>
        <v>4</v>
      </c>
      <c r="Q2" s="3">
        <f>COUNT(swch!A2:A2001)</f>
        <v>2</v>
      </c>
    </row>
  </sheetData>
  <pageMargins left="0.74791666666666701" right="0.74791666666666701" top="0.98402777777777795" bottom="0.9840277777777779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tabSelected="1" workbookViewId="0">
      <selection activeCell="E3" sqref="E3"/>
    </sheetView>
  </sheetViews>
  <sheetFormatPr defaultRowHeight="12.75" x14ac:dyDescent="0.2"/>
  <cols>
    <col min="3" max="3" width="12" bestFit="1" customWidth="1"/>
    <col min="4" max="4" width="12.5703125" bestFit="1" customWidth="1"/>
    <col min="5" max="5" width="10" bestFit="1" customWidth="1"/>
  </cols>
  <sheetData>
    <row r="1" spans="1:8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</row>
    <row r="2" spans="1:8" x14ac:dyDescent="0.2">
      <c r="A2">
        <v>0</v>
      </c>
      <c r="B2" t="s">
        <v>199</v>
      </c>
      <c r="C2">
        <v>0.37447351589135802</v>
      </c>
      <c r="D2">
        <v>-2.7536302209480499</v>
      </c>
      <c r="E2">
        <v>1</v>
      </c>
      <c r="F2">
        <v>0.174532925199433</v>
      </c>
      <c r="G2">
        <v>0</v>
      </c>
      <c r="H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00"/>
  <sheetViews>
    <sheetView workbookViewId="0">
      <pane xSplit="2" ySplit="1" topLeftCell="D8" activePane="bottomRight" state="frozen"/>
      <selection pane="topRight" activeCell="C1" sqref="C1"/>
      <selection pane="bottomLeft" activeCell="A2" sqref="A2"/>
      <selection pane="bottomRight" activeCell="J18" sqref="J18"/>
    </sheetView>
  </sheetViews>
  <sheetFormatPr defaultRowHeight="12.75" x14ac:dyDescent="0.2"/>
  <cols>
    <col min="1" max="1" width="10" bestFit="1" customWidth="1"/>
    <col min="2" max="2" width="12.7109375" bestFit="1" customWidth="1"/>
    <col min="3" max="3" width="11.5703125" bestFit="1" customWidth="1"/>
    <col min="4" max="4" width="11.140625" bestFit="1" customWidth="1"/>
    <col min="5" max="5" width="12.42578125" bestFit="1" customWidth="1"/>
    <col min="6" max="6" width="10.7109375" bestFit="1" customWidth="1"/>
    <col min="7" max="7" width="10.5703125" bestFit="1" customWidth="1"/>
    <col min="8" max="8" width="10.7109375" bestFit="1" customWidth="1"/>
    <col min="9" max="10" width="11.85546875" bestFit="1" customWidth="1"/>
    <col min="11" max="11" width="11.5703125" bestFit="1" customWidth="1"/>
    <col min="12" max="12" width="12.28515625" bestFit="1" customWidth="1"/>
    <col min="13" max="13" width="11.5703125" bestFit="1" customWidth="1"/>
    <col min="14" max="14" width="15" bestFit="1" customWidth="1"/>
    <col min="15" max="26" width="18.7109375" bestFit="1" customWidth="1"/>
    <col min="27" max="27" width="24.85546875"/>
    <col min="28" max="38" width="18.7109375" bestFit="1" customWidth="1"/>
    <col min="39" max="1024" width="24.85546875"/>
  </cols>
  <sheetData>
    <row r="1" spans="1:38" x14ac:dyDescent="0.2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26</v>
      </c>
      <c r="N1" s="1" t="s">
        <v>27</v>
      </c>
      <c r="O1" s="1" t="s">
        <v>28</v>
      </c>
      <c r="P1" s="1" t="s">
        <v>29</v>
      </c>
      <c r="Q1" s="1" t="s">
        <v>30</v>
      </c>
      <c r="R1" s="1" t="s">
        <v>31</v>
      </c>
      <c r="S1" s="1" t="s">
        <v>32</v>
      </c>
      <c r="T1" s="1" t="s">
        <v>33</v>
      </c>
      <c r="U1" s="1" t="s">
        <v>34</v>
      </c>
      <c r="V1" s="1" t="s">
        <v>35</v>
      </c>
      <c r="W1" s="1" t="s">
        <v>36</v>
      </c>
      <c r="X1" s="1" t="s">
        <v>37</v>
      </c>
      <c r="Y1" s="1" t="s">
        <v>38</v>
      </c>
      <c r="Z1" s="1" t="s">
        <v>39</v>
      </c>
      <c r="AA1" s="1" t="s">
        <v>40</v>
      </c>
      <c r="AB1" s="1" t="s">
        <v>41</v>
      </c>
      <c r="AC1" s="1" t="s">
        <v>42</v>
      </c>
      <c r="AD1" s="1" t="s">
        <v>43</v>
      </c>
      <c r="AE1" s="1" t="s">
        <v>44</v>
      </c>
      <c r="AF1" s="1" t="s">
        <v>45</v>
      </c>
      <c r="AG1" s="1" t="s">
        <v>46</v>
      </c>
      <c r="AH1" s="1" t="s">
        <v>47</v>
      </c>
      <c r="AI1" s="1" t="s">
        <v>48</v>
      </c>
      <c r="AJ1" s="1" t="s">
        <v>49</v>
      </c>
      <c r="AK1" s="1" t="s">
        <v>50</v>
      </c>
      <c r="AL1" s="1" t="s">
        <v>51</v>
      </c>
    </row>
    <row r="2" spans="1:38" x14ac:dyDescent="0.2">
      <c r="A2" s="3">
        <v>0</v>
      </c>
      <c r="B2" s="2" t="s">
        <v>200</v>
      </c>
      <c r="C2" s="3">
        <v>2</v>
      </c>
      <c r="D2" s="3">
        <v>-1</v>
      </c>
      <c r="E2" s="3">
        <v>0.5</v>
      </c>
      <c r="F2" s="3">
        <v>0.87</v>
      </c>
      <c r="G2" s="3">
        <v>0.9</v>
      </c>
      <c r="H2" s="3">
        <v>5.0000000000000001E-3</v>
      </c>
      <c r="I2" s="3">
        <v>800</v>
      </c>
      <c r="J2" s="3">
        <v>237</v>
      </c>
      <c r="K2" s="3">
        <v>0</v>
      </c>
      <c r="L2" s="3">
        <v>0</v>
      </c>
      <c r="M2" s="3">
        <v>0</v>
      </c>
      <c r="N2" s="3">
        <v>8</v>
      </c>
      <c r="O2" s="3">
        <v>0.1</v>
      </c>
      <c r="P2" s="3">
        <v>-0.1</v>
      </c>
      <c r="Q2" s="3">
        <v>-0.1</v>
      </c>
      <c r="R2" s="3">
        <v>0.1</v>
      </c>
      <c r="S2" s="3">
        <v>0.1</v>
      </c>
      <c r="T2" s="3">
        <v>-0.1</v>
      </c>
      <c r="U2" s="3">
        <v>0.1</v>
      </c>
      <c r="V2" s="3">
        <v>0.1</v>
      </c>
      <c r="W2" s="3">
        <v>0.1</v>
      </c>
      <c r="X2" s="3">
        <v>0.1</v>
      </c>
      <c r="Y2" s="3">
        <v>-0.1</v>
      </c>
      <c r="Z2" s="3">
        <v>0.1</v>
      </c>
      <c r="AA2" s="3">
        <v>-0.1</v>
      </c>
      <c r="AB2" s="3">
        <v>-0.1</v>
      </c>
      <c r="AC2" s="3">
        <v>-0.1</v>
      </c>
      <c r="AD2" s="3">
        <v>-0.1</v>
      </c>
      <c r="AE2" s="3">
        <v>0.1</v>
      </c>
      <c r="AF2" s="3">
        <v>-0.1</v>
      </c>
      <c r="AG2" s="3">
        <v>-0.1</v>
      </c>
      <c r="AH2" s="3">
        <v>0.1</v>
      </c>
      <c r="AI2" s="3">
        <v>0.1</v>
      </c>
      <c r="AJ2" s="3">
        <v>-0.1</v>
      </c>
      <c r="AK2" s="3">
        <v>-0.1</v>
      </c>
      <c r="AL2" s="3">
        <v>0.1</v>
      </c>
    </row>
    <row r="3" spans="1:38" x14ac:dyDescent="0.2">
      <c r="A3" s="3">
        <v>1</v>
      </c>
      <c r="B3" s="2" t="s">
        <v>201</v>
      </c>
      <c r="C3" s="3">
        <v>2</v>
      </c>
      <c r="D3" s="3">
        <v>-1</v>
      </c>
      <c r="E3" s="3">
        <v>0</v>
      </c>
      <c r="F3" s="3">
        <v>0.87</v>
      </c>
      <c r="G3" s="3">
        <v>0.9</v>
      </c>
      <c r="H3" s="3">
        <v>5.0000000000000001E-3</v>
      </c>
      <c r="I3" s="3">
        <v>800</v>
      </c>
      <c r="J3" s="3">
        <v>237</v>
      </c>
      <c r="K3" s="3">
        <v>0</v>
      </c>
      <c r="L3" s="3">
        <v>0</v>
      </c>
      <c r="M3" s="3">
        <v>0</v>
      </c>
      <c r="N3" s="3">
        <v>8</v>
      </c>
      <c r="O3" s="3">
        <v>0.3</v>
      </c>
      <c r="P3" s="3">
        <v>-0.01</v>
      </c>
      <c r="Q3" s="3">
        <v>0.1</v>
      </c>
      <c r="R3" s="3">
        <v>0.3</v>
      </c>
      <c r="S3" s="3">
        <v>0.01</v>
      </c>
      <c r="T3" s="3">
        <v>-0.1</v>
      </c>
      <c r="U3" s="3">
        <v>0.3</v>
      </c>
      <c r="V3" s="3">
        <v>0.01</v>
      </c>
      <c r="W3" s="3">
        <v>-0.08</v>
      </c>
      <c r="X3" s="3">
        <v>0.3</v>
      </c>
      <c r="Y3" s="3">
        <v>-0.01</v>
      </c>
      <c r="Z3" s="3">
        <v>-0.08</v>
      </c>
      <c r="AA3" s="3">
        <v>0.1</v>
      </c>
      <c r="AB3" s="3">
        <v>-0.01</v>
      </c>
      <c r="AC3" s="3">
        <v>-0.1</v>
      </c>
      <c r="AD3" s="3">
        <v>0.1</v>
      </c>
      <c r="AE3" s="3">
        <v>0.01</v>
      </c>
      <c r="AF3" s="3">
        <v>-0.1</v>
      </c>
      <c r="AG3" s="3">
        <v>0.1</v>
      </c>
      <c r="AH3" s="3">
        <v>0.01</v>
      </c>
      <c r="AI3" s="3">
        <v>-0.08</v>
      </c>
      <c r="AJ3" s="3">
        <v>0.1</v>
      </c>
      <c r="AK3" s="3">
        <v>-0.01</v>
      </c>
      <c r="AL3" s="3">
        <v>-0.08</v>
      </c>
    </row>
    <row r="4" spans="1:38" x14ac:dyDescent="0.2">
      <c r="A4" s="3">
        <v>2</v>
      </c>
      <c r="B4" s="2" t="s">
        <v>202</v>
      </c>
      <c r="C4" s="3">
        <v>2</v>
      </c>
      <c r="D4" s="3">
        <v>-1</v>
      </c>
      <c r="E4" s="3">
        <v>0</v>
      </c>
      <c r="F4" s="3">
        <v>0.87</v>
      </c>
      <c r="G4" s="3">
        <v>0.9</v>
      </c>
      <c r="H4" s="3">
        <v>5.0000000000000001E-3</v>
      </c>
      <c r="I4" s="3">
        <v>800</v>
      </c>
      <c r="J4" s="3">
        <v>237</v>
      </c>
      <c r="K4" s="3">
        <v>0</v>
      </c>
      <c r="L4" s="3">
        <v>0</v>
      </c>
      <c r="M4" s="3">
        <v>0</v>
      </c>
      <c r="N4" s="3">
        <v>8</v>
      </c>
      <c r="O4" s="3">
        <v>-0.1</v>
      </c>
      <c r="P4" s="3">
        <v>-0.01</v>
      </c>
      <c r="Q4" s="3">
        <v>-0.1</v>
      </c>
      <c r="R4" s="3">
        <v>-0.1</v>
      </c>
      <c r="S4" s="3">
        <v>0.01</v>
      </c>
      <c r="T4" s="3">
        <v>-0.1</v>
      </c>
      <c r="U4" s="3">
        <v>-0.1</v>
      </c>
      <c r="V4" s="3">
        <v>0.01</v>
      </c>
      <c r="W4" s="3">
        <v>-0.08</v>
      </c>
      <c r="X4" s="3">
        <v>-0.1</v>
      </c>
      <c r="Y4" s="3">
        <v>-0.01</v>
      </c>
      <c r="Z4" s="3">
        <v>-0.08</v>
      </c>
      <c r="AA4" s="3">
        <v>-0.3</v>
      </c>
      <c r="AB4" s="3">
        <v>-0.01</v>
      </c>
      <c r="AC4" s="3">
        <v>-0.1</v>
      </c>
      <c r="AD4" s="3">
        <v>-0.3</v>
      </c>
      <c r="AE4" s="3">
        <v>0.01</v>
      </c>
      <c r="AF4" s="3">
        <v>-0.1</v>
      </c>
      <c r="AG4" s="3">
        <v>-0.3</v>
      </c>
      <c r="AH4" s="3">
        <v>0.01</v>
      </c>
      <c r="AI4" s="3">
        <v>-0.08</v>
      </c>
      <c r="AJ4" s="3">
        <v>-0.3</v>
      </c>
      <c r="AK4" s="3">
        <v>-0.01</v>
      </c>
      <c r="AL4" s="3">
        <v>-0.08</v>
      </c>
    </row>
    <row r="5" spans="1:38" x14ac:dyDescent="0.2">
      <c r="A5" s="3">
        <v>3</v>
      </c>
      <c r="B5" s="2" t="s">
        <v>203</v>
      </c>
      <c r="C5" s="3">
        <v>2</v>
      </c>
      <c r="D5" s="3">
        <v>-1</v>
      </c>
      <c r="E5" s="3">
        <v>0</v>
      </c>
      <c r="F5" s="3">
        <v>0.87</v>
      </c>
      <c r="G5" s="3">
        <v>0.9</v>
      </c>
      <c r="H5" s="3">
        <v>5.0000000000000001E-3</v>
      </c>
      <c r="I5" s="3">
        <v>800</v>
      </c>
      <c r="J5" s="3">
        <v>237</v>
      </c>
      <c r="K5" s="3">
        <v>0</v>
      </c>
      <c r="L5" s="3">
        <v>0</v>
      </c>
      <c r="M5" s="3">
        <v>0</v>
      </c>
      <c r="N5" s="3">
        <v>8</v>
      </c>
      <c r="O5" s="3">
        <v>0.01</v>
      </c>
      <c r="P5" s="3">
        <v>0.3</v>
      </c>
      <c r="Q5" s="3">
        <v>-0.1</v>
      </c>
      <c r="R5" s="3">
        <v>-0.01</v>
      </c>
      <c r="S5" s="3">
        <v>0.3</v>
      </c>
      <c r="T5" s="3">
        <v>-0.1</v>
      </c>
      <c r="U5" s="3">
        <v>-0.01</v>
      </c>
      <c r="V5" s="3">
        <v>0.3</v>
      </c>
      <c r="W5" s="3">
        <v>-0.08</v>
      </c>
      <c r="X5" s="3">
        <v>0.01</v>
      </c>
      <c r="Y5" s="3">
        <v>0.3</v>
      </c>
      <c r="Z5" s="3">
        <v>-0.08</v>
      </c>
      <c r="AA5" s="3">
        <v>0.01</v>
      </c>
      <c r="AB5" s="3">
        <v>0.1</v>
      </c>
      <c r="AC5" s="3">
        <v>-0.1</v>
      </c>
      <c r="AD5" s="3">
        <v>-0.01</v>
      </c>
      <c r="AE5" s="3">
        <v>0.1</v>
      </c>
      <c r="AF5" s="3">
        <v>-0.1</v>
      </c>
      <c r="AG5" s="3">
        <v>-0.01</v>
      </c>
      <c r="AH5" s="3">
        <v>0.1</v>
      </c>
      <c r="AI5" s="3">
        <v>-0.08</v>
      </c>
      <c r="AJ5" s="3">
        <v>0.01</v>
      </c>
      <c r="AK5" s="3">
        <v>0.1</v>
      </c>
      <c r="AL5" s="3">
        <v>-0.08</v>
      </c>
    </row>
    <row r="6" spans="1:38" x14ac:dyDescent="0.2">
      <c r="A6" s="3">
        <v>4</v>
      </c>
      <c r="B6" s="2" t="s">
        <v>204</v>
      </c>
      <c r="C6" s="3">
        <v>2</v>
      </c>
      <c r="D6" s="3">
        <v>-1</v>
      </c>
      <c r="E6" s="3">
        <v>0</v>
      </c>
      <c r="F6" s="3">
        <v>0.87</v>
      </c>
      <c r="G6" s="3">
        <v>0.9</v>
      </c>
      <c r="H6" s="3">
        <v>5.0000000000000001E-3</v>
      </c>
      <c r="I6" s="3">
        <v>800</v>
      </c>
      <c r="J6" s="3">
        <v>237</v>
      </c>
      <c r="K6" s="3">
        <v>0</v>
      </c>
      <c r="L6" s="3">
        <v>0</v>
      </c>
      <c r="M6" s="3">
        <v>0</v>
      </c>
      <c r="N6" s="3">
        <v>8</v>
      </c>
      <c r="O6" s="3">
        <v>0.01</v>
      </c>
      <c r="P6" s="3">
        <v>-0.1</v>
      </c>
      <c r="Q6" s="3">
        <v>-0.1</v>
      </c>
      <c r="R6" s="3">
        <v>-0.01</v>
      </c>
      <c r="S6" s="3">
        <v>-0.1</v>
      </c>
      <c r="T6" s="3">
        <v>-0.1</v>
      </c>
      <c r="U6" s="3">
        <v>-0.01</v>
      </c>
      <c r="V6" s="3">
        <v>-0.1</v>
      </c>
      <c r="W6" s="3">
        <v>-0.08</v>
      </c>
      <c r="X6" s="3">
        <v>0.01</v>
      </c>
      <c r="Y6" s="3">
        <v>-0.1</v>
      </c>
      <c r="Z6" s="3">
        <v>-0.08</v>
      </c>
      <c r="AA6" s="3">
        <v>0.01</v>
      </c>
      <c r="AB6" s="3">
        <v>-0.3</v>
      </c>
      <c r="AC6" s="3">
        <v>-0.1</v>
      </c>
      <c r="AD6" s="3">
        <v>-0.01</v>
      </c>
      <c r="AE6" s="3">
        <v>-0.3</v>
      </c>
      <c r="AF6" s="3">
        <v>-0.1</v>
      </c>
      <c r="AG6" s="3">
        <v>-0.01</v>
      </c>
      <c r="AH6" s="3">
        <v>-0.3</v>
      </c>
      <c r="AI6" s="3">
        <v>-0.08</v>
      </c>
      <c r="AJ6" s="3">
        <v>0.01</v>
      </c>
      <c r="AK6" s="3">
        <v>-0.3</v>
      </c>
      <c r="AL6" s="3">
        <v>-0.08</v>
      </c>
    </row>
    <row r="7" spans="1:38" x14ac:dyDescent="0.2">
      <c r="A7" s="3">
        <v>5</v>
      </c>
      <c r="B7" s="2" t="s">
        <v>205</v>
      </c>
      <c r="C7" s="3">
        <v>3</v>
      </c>
      <c r="D7" s="3">
        <v>0</v>
      </c>
      <c r="E7" s="3">
        <v>0</v>
      </c>
      <c r="F7" s="3">
        <v>0.87</v>
      </c>
      <c r="G7" s="3">
        <v>0.9</v>
      </c>
      <c r="H7" s="3">
        <v>0.01</v>
      </c>
      <c r="I7" s="3">
        <v>800</v>
      </c>
      <c r="J7" s="3">
        <v>237</v>
      </c>
      <c r="K7" s="3">
        <v>0</v>
      </c>
      <c r="L7" s="3">
        <v>0</v>
      </c>
      <c r="M7" s="3">
        <v>0</v>
      </c>
      <c r="N7" s="3">
        <v>2</v>
      </c>
      <c r="O7" s="3">
        <v>0.28999999999999998</v>
      </c>
      <c r="P7" s="3">
        <v>0</v>
      </c>
      <c r="Q7" s="3">
        <v>-0.08</v>
      </c>
      <c r="R7" s="3">
        <v>0.28999999999999998</v>
      </c>
      <c r="S7" s="3">
        <v>0</v>
      </c>
      <c r="T7" s="3">
        <v>-0.05</v>
      </c>
      <c r="U7" s="3"/>
      <c r="V7" s="3"/>
      <c r="W7" s="3"/>
      <c r="X7" s="3"/>
      <c r="Y7" s="3"/>
      <c r="Z7" s="3"/>
    </row>
    <row r="8" spans="1:38" x14ac:dyDescent="0.2">
      <c r="A8" s="3">
        <v>6</v>
      </c>
      <c r="B8" s="2" t="s">
        <v>206</v>
      </c>
      <c r="C8" s="3">
        <v>3</v>
      </c>
      <c r="D8" s="3">
        <v>1</v>
      </c>
      <c r="E8" s="3">
        <v>0</v>
      </c>
      <c r="F8" s="3">
        <v>0.87</v>
      </c>
      <c r="G8" s="3">
        <v>0.9</v>
      </c>
      <c r="H8" s="3">
        <v>0.01</v>
      </c>
      <c r="I8" s="3">
        <v>800</v>
      </c>
      <c r="J8" s="3">
        <v>237</v>
      </c>
      <c r="K8" s="3">
        <v>0</v>
      </c>
      <c r="L8" s="3">
        <v>0</v>
      </c>
      <c r="M8" s="3">
        <v>0</v>
      </c>
      <c r="N8" s="3">
        <v>2</v>
      </c>
      <c r="O8" s="3">
        <v>-0.28999999999999998</v>
      </c>
      <c r="P8" s="3">
        <v>0</v>
      </c>
      <c r="Q8" s="3">
        <v>-0.08</v>
      </c>
      <c r="R8" s="3">
        <v>-0.28999999999999998</v>
      </c>
      <c r="S8" s="3">
        <v>0</v>
      </c>
      <c r="T8" s="3">
        <v>-0.05</v>
      </c>
      <c r="U8" s="3"/>
      <c r="V8" s="3"/>
      <c r="W8" s="3"/>
      <c r="X8" s="3"/>
      <c r="Y8" s="3"/>
      <c r="Z8" s="3"/>
    </row>
    <row r="9" spans="1:38" x14ac:dyDescent="0.2">
      <c r="A9" s="3">
        <v>7</v>
      </c>
      <c r="B9" s="2" t="s">
        <v>207</v>
      </c>
      <c r="C9" s="3">
        <v>3</v>
      </c>
      <c r="D9" s="3">
        <v>2</v>
      </c>
      <c r="E9" s="3">
        <v>0</v>
      </c>
      <c r="F9" s="3">
        <v>0.87</v>
      </c>
      <c r="G9" s="3">
        <v>0.9</v>
      </c>
      <c r="H9" s="3">
        <v>0.01</v>
      </c>
      <c r="I9" s="3">
        <v>800</v>
      </c>
      <c r="J9" s="3">
        <v>237</v>
      </c>
      <c r="K9" s="3">
        <v>0</v>
      </c>
      <c r="L9" s="3">
        <v>0</v>
      </c>
      <c r="M9" s="3">
        <v>0</v>
      </c>
      <c r="N9" s="3">
        <v>2</v>
      </c>
      <c r="O9" s="3">
        <v>0</v>
      </c>
      <c r="P9" s="3">
        <v>0.28999999999999998</v>
      </c>
      <c r="Q9" s="3">
        <v>-0.08</v>
      </c>
      <c r="R9" s="3">
        <v>0</v>
      </c>
      <c r="S9" s="3">
        <v>0.28999999999999998</v>
      </c>
      <c r="T9" s="3">
        <v>-0.05</v>
      </c>
      <c r="U9" s="3"/>
      <c r="V9" s="3"/>
      <c r="W9" s="3"/>
      <c r="X9" s="3"/>
      <c r="Y9" s="3"/>
      <c r="Z9" s="3"/>
    </row>
    <row r="10" spans="1:38" x14ac:dyDescent="0.2">
      <c r="A10" s="3">
        <v>8</v>
      </c>
      <c r="B10" s="2" t="s">
        <v>208</v>
      </c>
      <c r="C10" s="3">
        <v>3</v>
      </c>
      <c r="D10" s="3">
        <v>3</v>
      </c>
      <c r="E10" s="3">
        <v>0</v>
      </c>
      <c r="F10" s="3">
        <v>0.87</v>
      </c>
      <c r="G10" s="3">
        <v>0.9</v>
      </c>
      <c r="H10" s="3">
        <v>0.01</v>
      </c>
      <c r="I10" s="3">
        <v>800</v>
      </c>
      <c r="J10" s="3">
        <v>237</v>
      </c>
      <c r="K10" s="3">
        <v>0</v>
      </c>
      <c r="L10" s="3">
        <v>0</v>
      </c>
      <c r="M10" s="3">
        <v>0</v>
      </c>
      <c r="N10" s="3">
        <v>2</v>
      </c>
      <c r="O10" s="3">
        <v>0</v>
      </c>
      <c r="P10" s="3">
        <v>-0.28999999999999998</v>
      </c>
      <c r="Q10" s="3">
        <v>-0.08</v>
      </c>
      <c r="R10" s="3">
        <v>0</v>
      </c>
      <c r="S10" s="3">
        <v>-0.28999999999999998</v>
      </c>
      <c r="T10" s="3">
        <v>-0.05</v>
      </c>
      <c r="U10" s="3"/>
      <c r="V10" s="3"/>
      <c r="W10" s="3"/>
      <c r="X10" s="3"/>
      <c r="Y10" s="3"/>
      <c r="Z10" s="3"/>
    </row>
    <row r="11" spans="1:38" x14ac:dyDescent="0.2">
      <c r="A11" s="3">
        <v>9</v>
      </c>
      <c r="B11" s="2" t="s">
        <v>209</v>
      </c>
      <c r="C11" s="3">
        <v>5</v>
      </c>
      <c r="D11" s="3">
        <v>4</v>
      </c>
      <c r="E11" s="3">
        <v>0</v>
      </c>
      <c r="F11" s="3">
        <v>0.87</v>
      </c>
      <c r="G11" s="3">
        <v>0.9</v>
      </c>
      <c r="H11" s="3">
        <v>0</v>
      </c>
      <c r="I11" s="3">
        <v>800</v>
      </c>
      <c r="J11" s="3">
        <v>237</v>
      </c>
      <c r="K11" s="3">
        <v>0</v>
      </c>
      <c r="L11" s="3">
        <v>0</v>
      </c>
      <c r="M11" s="3">
        <v>0</v>
      </c>
      <c r="N11" s="3">
        <v>1</v>
      </c>
      <c r="O11" s="3">
        <v>0</v>
      </c>
      <c r="P11" s="3">
        <v>0</v>
      </c>
      <c r="Q11" s="3">
        <v>0</v>
      </c>
      <c r="R11" s="3"/>
      <c r="S11" s="3"/>
      <c r="T11" s="3"/>
      <c r="U11" s="3"/>
      <c r="V11" s="3"/>
      <c r="W11" s="3"/>
      <c r="X11" s="3"/>
      <c r="Y11" s="3"/>
      <c r="Z11" s="3"/>
    </row>
    <row r="12" spans="1:38" x14ac:dyDescent="0.2">
      <c r="A12" s="3">
        <v>10</v>
      </c>
      <c r="B12" s="2" t="s">
        <v>210</v>
      </c>
      <c r="C12" s="3">
        <v>5</v>
      </c>
      <c r="D12" s="3">
        <v>5</v>
      </c>
      <c r="E12" s="3">
        <v>0</v>
      </c>
      <c r="F12" s="3">
        <v>0.87</v>
      </c>
      <c r="G12" s="3">
        <v>0.9</v>
      </c>
      <c r="H12" s="3">
        <v>0</v>
      </c>
      <c r="I12" s="3">
        <v>800</v>
      </c>
      <c r="J12" s="3">
        <v>237</v>
      </c>
      <c r="K12" s="3">
        <v>0</v>
      </c>
      <c r="L12" s="3">
        <v>0</v>
      </c>
      <c r="M12" s="3">
        <v>0</v>
      </c>
      <c r="N12" s="3">
        <v>1</v>
      </c>
      <c r="O12" s="3">
        <v>0</v>
      </c>
      <c r="P12" s="3">
        <v>0</v>
      </c>
      <c r="Q12" s="3">
        <v>0</v>
      </c>
      <c r="R12" s="3"/>
      <c r="S12" s="3"/>
      <c r="T12" s="3"/>
      <c r="U12" s="3"/>
      <c r="V12" s="3"/>
      <c r="W12" s="3"/>
      <c r="X12" s="3"/>
      <c r="Y12" s="3"/>
      <c r="Z12" s="3"/>
    </row>
    <row r="13" spans="1:38" x14ac:dyDescent="0.2">
      <c r="A13" s="3">
        <v>11</v>
      </c>
      <c r="B13" s="2" t="s">
        <v>211</v>
      </c>
      <c r="C13" s="3">
        <v>5</v>
      </c>
      <c r="D13" s="3">
        <v>6</v>
      </c>
      <c r="E13" s="3">
        <v>0</v>
      </c>
      <c r="F13" s="3">
        <v>0.87</v>
      </c>
      <c r="G13" s="3">
        <v>0.9</v>
      </c>
      <c r="H13" s="3">
        <v>0</v>
      </c>
      <c r="I13" s="3">
        <v>800</v>
      </c>
      <c r="J13" s="3">
        <v>237</v>
      </c>
      <c r="K13" s="3">
        <v>0</v>
      </c>
      <c r="L13" s="3">
        <v>0</v>
      </c>
      <c r="M13" s="3">
        <v>0</v>
      </c>
      <c r="N13" s="3">
        <v>1</v>
      </c>
      <c r="O13" s="3">
        <v>0</v>
      </c>
      <c r="P13" s="3">
        <v>0</v>
      </c>
      <c r="Q13" s="3">
        <v>0</v>
      </c>
      <c r="R13" s="3"/>
      <c r="S13" s="3"/>
      <c r="T13" s="3"/>
      <c r="U13" s="3"/>
      <c r="V13" s="3"/>
      <c r="W13" s="3"/>
      <c r="X13" s="3"/>
      <c r="Y13" s="3"/>
      <c r="Z13" s="3"/>
    </row>
    <row r="14" spans="1:38" x14ac:dyDescent="0.2">
      <c r="A14" s="3">
        <v>12</v>
      </c>
      <c r="B14" s="2" t="s">
        <v>225</v>
      </c>
      <c r="C14" s="3">
        <v>5</v>
      </c>
      <c r="D14" s="3">
        <v>7</v>
      </c>
      <c r="E14" s="3">
        <v>0</v>
      </c>
      <c r="F14" s="3">
        <v>0.87</v>
      </c>
      <c r="G14" s="3">
        <v>0.9</v>
      </c>
      <c r="H14" s="3">
        <v>0</v>
      </c>
      <c r="I14" s="3">
        <v>800</v>
      </c>
      <c r="J14" s="3">
        <v>237</v>
      </c>
      <c r="K14" s="3">
        <v>0</v>
      </c>
      <c r="L14" s="3">
        <v>0</v>
      </c>
      <c r="M14" s="3">
        <v>0</v>
      </c>
      <c r="N14" s="3">
        <v>1</v>
      </c>
      <c r="O14" s="3">
        <v>0</v>
      </c>
      <c r="P14" s="3">
        <v>0</v>
      </c>
      <c r="Q14" s="3">
        <v>0</v>
      </c>
      <c r="R14" s="3"/>
      <c r="S14" s="3"/>
      <c r="T14" s="3"/>
      <c r="U14" s="3"/>
      <c r="V14" s="3"/>
      <c r="W14" s="3"/>
      <c r="X14" s="3"/>
      <c r="Y14" s="3"/>
      <c r="Z14" s="3"/>
    </row>
    <row r="15" spans="1:38" x14ac:dyDescent="0.2">
      <c r="A15" s="3">
        <v>13</v>
      </c>
      <c r="B15" s="2" t="s">
        <v>213</v>
      </c>
      <c r="C15" s="3">
        <v>5</v>
      </c>
      <c r="D15" s="3">
        <v>8</v>
      </c>
      <c r="E15" s="3">
        <v>0</v>
      </c>
      <c r="F15" s="3">
        <v>0.87</v>
      </c>
      <c r="G15" s="3">
        <v>0.9</v>
      </c>
      <c r="H15" s="3">
        <v>0</v>
      </c>
      <c r="I15" s="3">
        <v>800</v>
      </c>
      <c r="J15" s="3">
        <v>237</v>
      </c>
      <c r="K15" s="3">
        <v>0</v>
      </c>
      <c r="L15" s="3">
        <v>0</v>
      </c>
      <c r="M15" s="3">
        <v>0</v>
      </c>
      <c r="N15" s="3">
        <v>1</v>
      </c>
      <c r="O15" s="3">
        <v>0</v>
      </c>
      <c r="P15" s="3">
        <v>0</v>
      </c>
      <c r="Q15" s="3">
        <v>0</v>
      </c>
      <c r="R15" s="3"/>
      <c r="S15" s="3"/>
      <c r="T15" s="3"/>
      <c r="U15" s="3"/>
      <c r="V15" s="3"/>
      <c r="W15" s="3"/>
      <c r="X15" s="3"/>
      <c r="Y15" s="3"/>
      <c r="Z15" s="3"/>
    </row>
    <row r="16" spans="1:38" x14ac:dyDescent="0.2">
      <c r="A16" s="3">
        <v>14</v>
      </c>
      <c r="B16" s="2" t="s">
        <v>223</v>
      </c>
      <c r="C16" s="3">
        <v>5</v>
      </c>
      <c r="D16" s="3">
        <v>9</v>
      </c>
      <c r="E16" s="3">
        <v>0</v>
      </c>
      <c r="F16" s="3">
        <v>0.87</v>
      </c>
      <c r="G16" s="3">
        <v>0.9</v>
      </c>
      <c r="H16" s="3">
        <v>0</v>
      </c>
      <c r="I16" s="3">
        <v>800</v>
      </c>
      <c r="J16" s="3">
        <v>237</v>
      </c>
      <c r="K16" s="3">
        <v>0</v>
      </c>
      <c r="L16" s="3">
        <v>0</v>
      </c>
      <c r="M16" s="3">
        <v>0</v>
      </c>
      <c r="N16" s="3">
        <v>1</v>
      </c>
      <c r="O16" s="3">
        <v>0</v>
      </c>
      <c r="P16" s="3">
        <v>0</v>
      </c>
      <c r="Q16" s="3">
        <v>0</v>
      </c>
      <c r="R16" s="3"/>
      <c r="S16" s="3"/>
      <c r="T16" s="3"/>
      <c r="U16" s="3"/>
      <c r="V16" s="3"/>
      <c r="W16" s="3"/>
      <c r="X16" s="3"/>
      <c r="Y16" s="3"/>
      <c r="Z16" s="3"/>
    </row>
    <row r="17" spans="1:38" x14ac:dyDescent="0.2">
      <c r="A17" s="3">
        <v>15</v>
      </c>
      <c r="B17" s="2" t="s">
        <v>224</v>
      </c>
      <c r="C17" s="3">
        <v>5</v>
      </c>
      <c r="D17" s="3">
        <v>10</v>
      </c>
      <c r="E17" s="3">
        <v>0</v>
      </c>
      <c r="F17" s="3">
        <v>0.87</v>
      </c>
      <c r="G17" s="3">
        <v>0.9</v>
      </c>
      <c r="H17" s="3">
        <v>0</v>
      </c>
      <c r="I17" s="3">
        <v>800</v>
      </c>
      <c r="J17" s="3">
        <v>237</v>
      </c>
      <c r="K17" s="3">
        <v>0</v>
      </c>
      <c r="L17" s="3">
        <v>0</v>
      </c>
      <c r="M17" s="3">
        <v>0</v>
      </c>
      <c r="N17" s="3">
        <v>1</v>
      </c>
      <c r="O17" s="3">
        <v>0</v>
      </c>
      <c r="P17" s="3">
        <v>0</v>
      </c>
      <c r="Q17" s="3">
        <v>0</v>
      </c>
      <c r="R17" s="3"/>
      <c r="S17" s="3"/>
      <c r="T17" s="3"/>
      <c r="U17" s="3"/>
      <c r="V17" s="3"/>
      <c r="W17" s="3"/>
      <c r="X17" s="3"/>
      <c r="Y17" s="3"/>
      <c r="Z17" s="3"/>
    </row>
    <row r="18" spans="1:38" x14ac:dyDescent="0.2">
      <c r="A18" s="3">
        <v>16</v>
      </c>
      <c r="B18" s="2" t="s">
        <v>212</v>
      </c>
      <c r="C18" s="3">
        <v>5</v>
      </c>
      <c r="D18" s="3">
        <v>11</v>
      </c>
      <c r="E18" s="3">
        <v>0</v>
      </c>
      <c r="F18" s="3">
        <v>0.87</v>
      </c>
      <c r="G18" s="3">
        <v>0.9</v>
      </c>
      <c r="H18" s="3">
        <v>0</v>
      </c>
      <c r="I18" s="3">
        <v>800</v>
      </c>
      <c r="J18" s="3">
        <v>237</v>
      </c>
      <c r="K18" s="3">
        <v>0</v>
      </c>
      <c r="L18" s="3">
        <v>0</v>
      </c>
      <c r="M18" s="3">
        <v>0</v>
      </c>
      <c r="N18" s="3">
        <v>1</v>
      </c>
      <c r="O18" s="3">
        <v>0</v>
      </c>
      <c r="P18" s="3">
        <v>0</v>
      </c>
      <c r="Q18" s="3">
        <v>0</v>
      </c>
      <c r="R18" s="3"/>
      <c r="S18" s="3"/>
      <c r="T18" s="3"/>
      <c r="U18" s="3"/>
      <c r="V18" s="3"/>
      <c r="W18" s="3"/>
      <c r="X18" s="3"/>
      <c r="Y18" s="3"/>
      <c r="Z18" s="3"/>
    </row>
    <row r="19" spans="1:38" x14ac:dyDescent="0.2">
      <c r="A19" s="3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38" x14ac:dyDescent="0.2">
      <c r="A20" s="3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38" x14ac:dyDescent="0.2">
      <c r="A21" s="3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38" x14ac:dyDescent="0.2">
      <c r="A22" s="3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38" x14ac:dyDescent="0.2">
      <c r="A23" s="3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38" x14ac:dyDescent="0.2">
      <c r="A24" s="3"/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38" x14ac:dyDescent="0.2">
      <c r="A25" s="3"/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38" x14ac:dyDescent="0.2">
      <c r="A26" s="3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">
      <c r="A27" s="3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">
      <c r="A28" s="3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">
      <c r="A29" s="3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38" x14ac:dyDescent="0.2">
      <c r="A30" s="3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38" x14ac:dyDescent="0.2">
      <c r="A31" s="3"/>
      <c r="B31" s="2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38" x14ac:dyDescent="0.2">
      <c r="A32" s="3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20" x14ac:dyDescent="0.2">
      <c r="A33" s="3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20" x14ac:dyDescent="0.2">
      <c r="A34" s="3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20" x14ac:dyDescent="0.2">
      <c r="A35" s="3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20" x14ac:dyDescent="0.2">
      <c r="A36" s="3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20" x14ac:dyDescent="0.2">
      <c r="A37" s="3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20" x14ac:dyDescent="0.2">
      <c r="A38" s="3"/>
      <c r="B38" s="2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20" x14ac:dyDescent="0.2">
      <c r="A39" s="3"/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20" x14ac:dyDescent="0.2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20" x14ac:dyDescent="0.2">
      <c r="A41" s="3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20" x14ac:dyDescent="0.2">
      <c r="A42" s="3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20" x14ac:dyDescent="0.2">
      <c r="A43" s="3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20" x14ac:dyDescent="0.2">
      <c r="A44" s="3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20" x14ac:dyDescent="0.2">
      <c r="A45" s="3"/>
      <c r="B45" s="2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x14ac:dyDescent="0.2">
      <c r="A46" s="3"/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</row>
    <row r="47" spans="1:20" x14ac:dyDescent="0.2">
      <c r="A47" s="3"/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</row>
    <row r="48" spans="1:20" x14ac:dyDescent="0.2">
      <c r="A48" s="3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38" x14ac:dyDescent="0.2">
      <c r="A49" s="3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">
      <c r="A50" s="3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38" x14ac:dyDescent="0.2">
      <c r="A51" s="3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">
      <c r="A52" s="3"/>
      <c r="B52" s="2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38" x14ac:dyDescent="0.2">
      <c r="A53" s="3"/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38" x14ac:dyDescent="0.2">
      <c r="A54" s="3"/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38" x14ac:dyDescent="0.2">
      <c r="A55" s="3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  <row r="56" spans="1:38" x14ac:dyDescent="0.2">
      <c r="A56" s="3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</row>
    <row r="57" spans="1:38" x14ac:dyDescent="0.2">
      <c r="A57" s="3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">
      <c r="A58" s="3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59" spans="1:38" x14ac:dyDescent="0.2">
      <c r="A59" s="3"/>
      <c r="B59" s="2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</row>
    <row r="60" spans="1:38" x14ac:dyDescent="0.2">
      <c r="A60" s="3"/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</row>
    <row r="61" spans="1:38" x14ac:dyDescent="0.2">
      <c r="A61" s="3"/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</row>
    <row r="62" spans="1:38" x14ac:dyDescent="0.2">
      <c r="A62" s="3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</row>
    <row r="63" spans="1:38" x14ac:dyDescent="0.2">
      <c r="A63" s="3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</row>
    <row r="64" spans="1:38" x14ac:dyDescent="0.2">
      <c r="A64" s="3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</row>
    <row r="65" spans="1:17" x14ac:dyDescent="0.2">
      <c r="A65" s="3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</row>
    <row r="66" spans="1:17" x14ac:dyDescent="0.2">
      <c r="A66" s="3"/>
      <c r="B66" s="2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</row>
    <row r="67" spans="1:17" x14ac:dyDescent="0.2">
      <c r="A67" s="3"/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</row>
    <row r="68" spans="1:17" x14ac:dyDescent="0.2">
      <c r="A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</row>
    <row r="69" spans="1:17" x14ac:dyDescent="0.2">
      <c r="A69" s="3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</row>
    <row r="70" spans="1:17" x14ac:dyDescent="0.2">
      <c r="A70" s="3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</row>
    <row r="71" spans="1:17" x14ac:dyDescent="0.2">
      <c r="A71" s="3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</row>
    <row r="72" spans="1:17" x14ac:dyDescent="0.2">
      <c r="A72" s="3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</row>
    <row r="73" spans="1:17" x14ac:dyDescent="0.2">
      <c r="A73" s="3"/>
      <c r="B73" s="2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</row>
    <row r="74" spans="1:17" x14ac:dyDescent="0.2">
      <c r="A74" s="3"/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</row>
    <row r="75" spans="1:17" x14ac:dyDescent="0.2">
      <c r="A75" s="3"/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</row>
    <row r="76" spans="1:17" x14ac:dyDescent="0.2">
      <c r="A76" s="3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</row>
    <row r="77" spans="1:17" x14ac:dyDescent="0.2">
      <c r="A77" s="3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</row>
    <row r="78" spans="1:17" x14ac:dyDescent="0.2">
      <c r="A78" s="3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</row>
    <row r="79" spans="1:17" x14ac:dyDescent="0.2">
      <c r="A79" s="3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</row>
    <row r="80" spans="1:17" x14ac:dyDescent="0.2">
      <c r="A80" s="3"/>
      <c r="B80" s="2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</row>
    <row r="81" spans="1:17" x14ac:dyDescent="0.2">
      <c r="A81" s="3"/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</row>
    <row r="82" spans="1:17" x14ac:dyDescent="0.2">
      <c r="A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</row>
    <row r="83" spans="1:17" x14ac:dyDescent="0.2">
      <c r="A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</row>
    <row r="84" spans="1:17" x14ac:dyDescent="0.2">
      <c r="A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</row>
    <row r="85" spans="1:17" x14ac:dyDescent="0.2">
      <c r="A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</row>
    <row r="86" spans="1:17" x14ac:dyDescent="0.2">
      <c r="A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</row>
    <row r="87" spans="1:17" x14ac:dyDescent="0.2">
      <c r="A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</row>
    <row r="88" spans="1:17" x14ac:dyDescent="0.2">
      <c r="A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</row>
    <row r="89" spans="1:17" x14ac:dyDescent="0.2">
      <c r="A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</row>
    <row r="90" spans="1:17" x14ac:dyDescent="0.2">
      <c r="A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</row>
    <row r="91" spans="1:17" x14ac:dyDescent="0.2">
      <c r="A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</row>
    <row r="92" spans="1:17" x14ac:dyDescent="0.2">
      <c r="A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</row>
    <row r="93" spans="1:17" x14ac:dyDescent="0.2">
      <c r="A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</row>
    <row r="94" spans="1:17" x14ac:dyDescent="0.2">
      <c r="A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</row>
    <row r="95" spans="1:17" x14ac:dyDescent="0.2">
      <c r="A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</row>
    <row r="96" spans="1:17" x14ac:dyDescent="0.2">
      <c r="A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</row>
    <row r="97" spans="1:17" x14ac:dyDescent="0.2">
      <c r="A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</row>
    <row r="98" spans="1:17" x14ac:dyDescent="0.2">
      <c r="A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</row>
    <row r="99" spans="1:17" x14ac:dyDescent="0.2">
      <c r="A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</row>
    <row r="100" spans="1:17" x14ac:dyDescent="0.2">
      <c r="F100" s="3"/>
      <c r="G100" s="3"/>
      <c r="I100" s="3"/>
      <c r="J100" s="3"/>
      <c r="K100" s="3"/>
    </row>
  </sheetData>
  <sortState ref="A2:AL99">
    <sortCondition ref="A2:A99"/>
  </sortState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1"/>
  <sheetViews>
    <sheetView workbookViewId="0">
      <pane ySplit="1" topLeftCell="A2" activePane="bottomLeft" state="frozen"/>
      <selection pane="bottomLeft" activeCell="F12" sqref="F12:K13"/>
    </sheetView>
  </sheetViews>
  <sheetFormatPr defaultRowHeight="12.75" x14ac:dyDescent="0.2"/>
  <sheetData>
    <row r="1" spans="1:11" x14ac:dyDescent="0.2">
      <c r="A1" s="4" t="s">
        <v>52</v>
      </c>
      <c r="B1" s="4" t="s">
        <v>53</v>
      </c>
      <c r="C1" s="4" t="s">
        <v>54</v>
      </c>
      <c r="D1" s="4" t="s">
        <v>55</v>
      </c>
      <c r="E1" s="4" t="s">
        <v>56</v>
      </c>
      <c r="F1" s="4" t="s">
        <v>57</v>
      </c>
      <c r="G1" s="4" t="s">
        <v>58</v>
      </c>
      <c r="H1" s="4" t="s">
        <v>59</v>
      </c>
      <c r="I1" s="4" t="s">
        <v>60</v>
      </c>
      <c r="J1" s="4" t="s">
        <v>61</v>
      </c>
      <c r="K1" s="4" t="s">
        <v>62</v>
      </c>
    </row>
    <row r="2" spans="1:11" x14ac:dyDescent="0.2">
      <c r="A2">
        <v>0</v>
      </c>
      <c r="B2">
        <v>14</v>
      </c>
      <c r="C2">
        <v>0</v>
      </c>
      <c r="D2">
        <f ca="1">INDIRECT(ADDRESS(MATCH($A2,part!$D$1:$D$2001,0),1,,,"part"))</f>
        <v>5</v>
      </c>
      <c r="E2">
        <v>0</v>
      </c>
      <c r="F2">
        <v>0</v>
      </c>
      <c r="G2">
        <v>40</v>
      </c>
      <c r="H2">
        <v>0</v>
      </c>
      <c r="I2">
        <v>0</v>
      </c>
      <c r="J2">
        <v>0</v>
      </c>
      <c r="K2">
        <v>0</v>
      </c>
    </row>
    <row r="3" spans="1:11" x14ac:dyDescent="0.2">
      <c r="A3">
        <v>1</v>
      </c>
      <c r="B3">
        <v>14</v>
      </c>
      <c r="C3">
        <v>1</v>
      </c>
      <c r="D3">
        <f ca="1">INDIRECT(ADDRESS(MATCH($A3,part!$D$1:$D$2001,0),1,,,"part"))</f>
        <v>6</v>
      </c>
      <c r="E3">
        <v>0</v>
      </c>
      <c r="F3">
        <v>0</v>
      </c>
      <c r="G3">
        <v>40</v>
      </c>
      <c r="H3">
        <v>0</v>
      </c>
      <c r="I3">
        <v>0</v>
      </c>
      <c r="J3">
        <v>0</v>
      </c>
      <c r="K3">
        <v>0</v>
      </c>
    </row>
    <row r="4" spans="1:11" x14ac:dyDescent="0.2">
      <c r="A4">
        <v>2</v>
      </c>
      <c r="B4">
        <v>14</v>
      </c>
      <c r="C4">
        <v>2</v>
      </c>
      <c r="D4">
        <f ca="1">INDIRECT(ADDRESS(MATCH($A4,part!$D$1:$D$2001,0),1,,,"part"))</f>
        <v>7</v>
      </c>
      <c r="E4">
        <v>0</v>
      </c>
      <c r="F4">
        <v>0</v>
      </c>
      <c r="G4">
        <v>40</v>
      </c>
      <c r="H4">
        <v>0</v>
      </c>
      <c r="I4">
        <v>0</v>
      </c>
      <c r="J4">
        <v>0</v>
      </c>
      <c r="K4">
        <v>0</v>
      </c>
    </row>
    <row r="5" spans="1:11" x14ac:dyDescent="0.2">
      <c r="A5">
        <v>3</v>
      </c>
      <c r="B5">
        <v>14</v>
      </c>
      <c r="C5">
        <v>3</v>
      </c>
      <c r="D5">
        <f ca="1">INDIRECT(ADDRESS(MATCH($A5,part!$D$1:$D$2001,0),1,,,"part"))</f>
        <v>8</v>
      </c>
      <c r="E5">
        <v>0</v>
      </c>
      <c r="F5">
        <v>0</v>
      </c>
      <c r="G5">
        <v>40</v>
      </c>
      <c r="H5">
        <v>0</v>
      </c>
      <c r="I5">
        <v>0</v>
      </c>
      <c r="J5">
        <v>0</v>
      </c>
      <c r="K5">
        <v>0</v>
      </c>
    </row>
    <row r="6" spans="1:11" x14ac:dyDescent="0.2">
      <c r="A6">
        <v>4</v>
      </c>
      <c r="B6">
        <v>6</v>
      </c>
      <c r="C6">
        <v>0</v>
      </c>
      <c r="D6">
        <f ca="1">INDIRECT(ADDRESS(MATCH($A6,part!$D$1:$D$2001,0),1,,,"part"))</f>
        <v>9</v>
      </c>
      <c r="E6">
        <v>0</v>
      </c>
      <c r="F6">
        <v>0</v>
      </c>
      <c r="G6">
        <v>40</v>
      </c>
      <c r="H6">
        <v>0</v>
      </c>
      <c r="I6">
        <v>0</v>
      </c>
      <c r="J6">
        <v>0</v>
      </c>
      <c r="K6">
        <v>0</v>
      </c>
    </row>
    <row r="7" spans="1:11" x14ac:dyDescent="0.2">
      <c r="A7">
        <v>5</v>
      </c>
      <c r="B7">
        <v>2</v>
      </c>
      <c r="C7">
        <v>0</v>
      </c>
      <c r="D7">
        <f ca="1">INDIRECT(ADDRESS(MATCH($A7,part!$D$1:$D$2001,0),1,,,"part"))</f>
        <v>10</v>
      </c>
      <c r="E7">
        <v>0</v>
      </c>
      <c r="F7">
        <v>0</v>
      </c>
      <c r="G7">
        <v>40</v>
      </c>
      <c r="H7">
        <v>0</v>
      </c>
      <c r="I7">
        <v>0</v>
      </c>
      <c r="J7">
        <v>0</v>
      </c>
      <c r="K7">
        <v>0</v>
      </c>
    </row>
    <row r="8" spans="1:11" x14ac:dyDescent="0.2">
      <c r="A8">
        <v>6</v>
      </c>
      <c r="B8">
        <v>5</v>
      </c>
      <c r="C8">
        <v>0</v>
      </c>
      <c r="D8">
        <f ca="1">INDIRECT(ADDRESS(MATCH($A8,part!$D$1:$D$2001,0),1,,,"part"))</f>
        <v>11</v>
      </c>
      <c r="E8">
        <v>0</v>
      </c>
      <c r="F8">
        <v>0</v>
      </c>
      <c r="G8">
        <v>40</v>
      </c>
      <c r="H8">
        <v>0</v>
      </c>
      <c r="I8">
        <v>0</v>
      </c>
      <c r="J8">
        <v>0</v>
      </c>
      <c r="K8">
        <v>0</v>
      </c>
    </row>
    <row r="9" spans="1:11" x14ac:dyDescent="0.2">
      <c r="A9">
        <v>7</v>
      </c>
      <c r="B9">
        <v>0</v>
      </c>
      <c r="C9">
        <v>0</v>
      </c>
      <c r="D9">
        <f ca="1">INDIRECT(ADDRESS(MATCH($A9,part!$D$1:$D$2001,0),1,,,"part"))</f>
        <v>12</v>
      </c>
      <c r="E9">
        <v>0</v>
      </c>
      <c r="F9">
        <v>0</v>
      </c>
      <c r="G9">
        <v>40</v>
      </c>
      <c r="H9">
        <v>0</v>
      </c>
      <c r="I9">
        <v>0</v>
      </c>
      <c r="J9">
        <v>0</v>
      </c>
      <c r="K9">
        <v>0</v>
      </c>
    </row>
    <row r="10" spans="1:11" x14ac:dyDescent="0.2">
      <c r="A10">
        <v>8</v>
      </c>
      <c r="B10">
        <v>12</v>
      </c>
      <c r="C10">
        <v>0</v>
      </c>
      <c r="D10">
        <f ca="1">INDIRECT(ADDRESS(MATCH($A10,part!$D$1:$D$2001,0),1,,,"part"))</f>
        <v>13</v>
      </c>
      <c r="E10">
        <v>0</v>
      </c>
      <c r="F10">
        <v>0</v>
      </c>
      <c r="G10">
        <v>40</v>
      </c>
      <c r="H10">
        <v>0</v>
      </c>
      <c r="I10">
        <v>0</v>
      </c>
      <c r="J10">
        <v>0</v>
      </c>
      <c r="K10">
        <v>0</v>
      </c>
    </row>
    <row r="11" spans="1:11" x14ac:dyDescent="0.2">
      <c r="A11">
        <v>9</v>
      </c>
      <c r="B11">
        <v>18</v>
      </c>
      <c r="C11">
        <v>0</v>
      </c>
      <c r="D11">
        <v>14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2">
      <c r="A12">
        <v>10</v>
      </c>
      <c r="B12">
        <v>18</v>
      </c>
      <c r="C12">
        <v>1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">
      <c r="A13">
        <v>11</v>
      </c>
      <c r="B13">
        <v>0</v>
      </c>
      <c r="C13">
        <v>1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40" spans="1:1" x14ac:dyDescent="0.2">
      <c r="A40" s="3"/>
    </row>
    <row r="41" spans="1:1" x14ac:dyDescent="0.2">
      <c r="A41" s="3"/>
    </row>
    <row r="42" spans="1:1" x14ac:dyDescent="0.2">
      <c r="A42" s="3"/>
    </row>
    <row r="43" spans="1:1" x14ac:dyDescent="0.2">
      <c r="A43" s="3"/>
    </row>
    <row r="44" spans="1:1" x14ac:dyDescent="0.2">
      <c r="A44" s="3"/>
    </row>
    <row r="45" spans="1:1" x14ac:dyDescent="0.2">
      <c r="A45" s="3"/>
    </row>
    <row r="46" spans="1:1" x14ac:dyDescent="0.2">
      <c r="A46" s="3"/>
    </row>
    <row r="47" spans="1:1" x14ac:dyDescent="0.2">
      <c r="A47" s="3"/>
    </row>
    <row r="48" spans="1:1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3"/>
    </row>
    <row r="63" spans="1:1" x14ac:dyDescent="0.2">
      <c r="A63" s="3"/>
    </row>
    <row r="64" spans="1: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A3" sqref="A3:C25"/>
    </sheetView>
  </sheetViews>
  <sheetFormatPr defaultRowHeight="12.75" x14ac:dyDescent="0.2"/>
  <sheetData>
    <row r="1" spans="1:3" x14ac:dyDescent="0.2">
      <c r="A1" t="s">
        <v>63</v>
      </c>
      <c r="B1" t="s">
        <v>64</v>
      </c>
      <c r="C1" t="s">
        <v>65</v>
      </c>
    </row>
    <row r="2" spans="1:3" x14ac:dyDescent="0.2">
      <c r="A2">
        <v>0</v>
      </c>
      <c r="B2">
        <v>0</v>
      </c>
      <c r="C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"/>
  <sheetViews>
    <sheetView workbookViewId="0">
      <selection activeCell="A3" sqref="A3:XFD3"/>
    </sheetView>
  </sheetViews>
  <sheetFormatPr defaultRowHeight="12.75" x14ac:dyDescent="0.2"/>
  <sheetData>
    <row r="1" spans="1:5" x14ac:dyDescent="0.2">
      <c r="A1" t="s">
        <v>68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2">
      <c r="A2">
        <v>0</v>
      </c>
      <c r="B2">
        <v>33</v>
      </c>
      <c r="C2">
        <v>60</v>
      </c>
      <c r="D2">
        <v>0.8</v>
      </c>
      <c r="E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"/>
  <sheetViews>
    <sheetView workbookViewId="0">
      <selection activeCell="B2" sqref="B2"/>
    </sheetView>
  </sheetViews>
  <sheetFormatPr defaultRowHeight="12.75" x14ac:dyDescent="0.2"/>
  <sheetData>
    <row r="1" spans="1:6" x14ac:dyDescent="0.2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</row>
    <row r="2" spans="1:6" x14ac:dyDescent="0.2">
      <c r="A2">
        <v>0</v>
      </c>
      <c r="B2">
        <v>6</v>
      </c>
      <c r="C2">
        <v>0</v>
      </c>
      <c r="D2">
        <v>0</v>
      </c>
      <c r="E2">
        <v>0</v>
      </c>
      <c r="F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2"/>
  <sheetViews>
    <sheetView workbookViewId="0">
      <selection activeCell="B3" sqref="B3"/>
    </sheetView>
  </sheetViews>
  <sheetFormatPr defaultRowHeight="12.75" x14ac:dyDescent="0.2"/>
  <sheetData>
    <row r="1" spans="1:8" x14ac:dyDescent="0.2">
      <c r="A1" t="s">
        <v>183</v>
      </c>
      <c r="B1" t="s">
        <v>184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190</v>
      </c>
    </row>
    <row r="2" spans="1:8" x14ac:dyDescent="0.2">
      <c r="A2">
        <v>0</v>
      </c>
      <c r="B2">
        <v>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2"/>
  <sheetViews>
    <sheetView workbookViewId="0">
      <selection activeCell="B3" sqref="B3"/>
    </sheetView>
  </sheetViews>
  <sheetFormatPr defaultRowHeight="12.75" x14ac:dyDescent="0.2"/>
  <sheetData>
    <row r="1" spans="1:32" x14ac:dyDescent="0.2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123</v>
      </c>
      <c r="K1" t="s">
        <v>124</v>
      </c>
      <c r="L1" t="s">
        <v>125</v>
      </c>
      <c r="M1" t="s">
        <v>120</v>
      </c>
      <c r="N1" t="s">
        <v>121</v>
      </c>
      <c r="O1" t="s">
        <v>122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</row>
    <row r="2" spans="1:32" x14ac:dyDescent="0.2">
      <c r="A2">
        <v>0</v>
      </c>
      <c r="B2">
        <v>5</v>
      </c>
      <c r="C2">
        <v>0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"/>
  <sheetViews>
    <sheetView workbookViewId="0">
      <selection activeCell="A2" sqref="A2:J4"/>
    </sheetView>
  </sheetViews>
  <sheetFormatPr defaultRowHeight="12.75" x14ac:dyDescent="0.2"/>
  <sheetData>
    <row r="1" spans="1:10" x14ac:dyDescent="0.2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5"/>
  <sheetViews>
    <sheetView workbookViewId="0">
      <selection activeCell="E2" sqref="E2"/>
    </sheetView>
  </sheetViews>
  <sheetFormatPr defaultRowHeight="12.75" x14ac:dyDescent="0.2"/>
  <cols>
    <col min="3" max="3" width="12.28515625" customWidth="1"/>
    <col min="4" max="5" width="17.42578125" bestFit="1" customWidth="1"/>
  </cols>
  <sheetData>
    <row r="1" spans="1:23" x14ac:dyDescent="0.2">
      <c r="A1" t="s">
        <v>159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</row>
    <row r="2" spans="1:23" x14ac:dyDescent="0.2">
      <c r="A2">
        <v>0</v>
      </c>
      <c r="B2">
        <v>7</v>
      </c>
      <c r="C2">
        <v>1</v>
      </c>
      <c r="D2" t="s">
        <v>226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</row>
    <row r="3" spans="1:23" x14ac:dyDescent="0.2">
      <c r="A3">
        <v>1</v>
      </c>
      <c r="B3">
        <v>11</v>
      </c>
      <c r="C3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</row>
    <row r="4" spans="1:23" x14ac:dyDescent="0.2"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N5" s="5"/>
      <c r="O5" s="5"/>
      <c r="P5" s="5"/>
      <c r="Q5" s="5"/>
      <c r="R5" s="5"/>
      <c r="S5" s="5"/>
      <c r="T5" s="5"/>
      <c r="U5" s="5"/>
      <c r="V5" s="5"/>
      <c r="W5" s="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"/>
  <sheetViews>
    <sheetView workbookViewId="0">
      <selection activeCell="A2" sqref="A2:XFD2"/>
    </sheetView>
  </sheetViews>
  <sheetFormatPr defaultRowHeight="12.75" x14ac:dyDescent="0.2"/>
  <sheetData>
    <row r="1" spans="1:12" x14ac:dyDescent="0.2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"/>
  <sheetViews>
    <sheetView workbookViewId="0">
      <selection activeCell="A2" sqref="A2:XFD4"/>
    </sheetView>
  </sheetViews>
  <sheetFormatPr defaultRowHeight="12.75" x14ac:dyDescent="0.2"/>
  <sheetData>
    <row r="1" spans="1:12" x14ac:dyDescent="0.2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"/>
  <sheetViews>
    <sheetView workbookViewId="0">
      <selection activeCell="A2" sqref="A2:XFD19"/>
    </sheetView>
  </sheetViews>
  <sheetFormatPr defaultRowHeight="12.75" x14ac:dyDescent="0.2"/>
  <sheetData>
    <row r="1" spans="1:6" x14ac:dyDescent="0.2">
      <c r="A1" t="s">
        <v>93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"/>
  <sheetViews>
    <sheetView workbookViewId="0">
      <selection activeCell="A2" sqref="A2:XFD33"/>
    </sheetView>
  </sheetViews>
  <sheetFormatPr defaultRowHeight="12.75" x14ac:dyDescent="0.2"/>
  <sheetData>
    <row r="1" spans="1:4" x14ac:dyDescent="0.2">
      <c r="A1" t="s">
        <v>66</v>
      </c>
      <c r="B1" t="s">
        <v>191</v>
      </c>
      <c r="C1" t="s">
        <v>67</v>
      </c>
      <c r="D1" t="s">
        <v>192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"/>
  <sheetViews>
    <sheetView workbookViewId="0">
      <selection activeCell="F5" sqref="F5"/>
    </sheetView>
  </sheetViews>
  <sheetFormatPr defaultRowHeight="12.75" x14ac:dyDescent="0.2"/>
  <sheetData>
    <row r="1" spans="1:5" x14ac:dyDescent="0.2">
      <c r="A1" t="s">
        <v>214</v>
      </c>
      <c r="B1" t="s">
        <v>215</v>
      </c>
      <c r="C1" t="s">
        <v>216</v>
      </c>
      <c r="D1" t="s">
        <v>217</v>
      </c>
      <c r="E1" t="s">
        <v>218</v>
      </c>
    </row>
    <row r="2" spans="1:5" x14ac:dyDescent="0.2">
      <c r="A2">
        <v>0</v>
      </c>
      <c r="B2">
        <v>0</v>
      </c>
      <c r="C2">
        <v>1000</v>
      </c>
      <c r="D2">
        <v>1</v>
      </c>
      <c r="E2">
        <v>0</v>
      </c>
    </row>
    <row r="3" spans="1:5" x14ac:dyDescent="0.2">
      <c r="A3">
        <v>1</v>
      </c>
      <c r="B3">
        <v>1</v>
      </c>
      <c r="C3">
        <v>1000</v>
      </c>
      <c r="D3">
        <v>1</v>
      </c>
      <c r="E3">
        <v>0</v>
      </c>
    </row>
    <row r="4" spans="1:5" x14ac:dyDescent="0.2">
      <c r="A4">
        <v>2</v>
      </c>
      <c r="B4">
        <v>2</v>
      </c>
      <c r="C4">
        <v>1000</v>
      </c>
      <c r="D4">
        <v>1</v>
      </c>
      <c r="E4">
        <v>0</v>
      </c>
    </row>
    <row r="5" spans="1:5" x14ac:dyDescent="0.2">
      <c r="A5">
        <v>3</v>
      </c>
      <c r="B5">
        <v>3</v>
      </c>
      <c r="C5">
        <v>1000</v>
      </c>
      <c r="D5">
        <v>1</v>
      </c>
      <c r="E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3"/>
  <sheetViews>
    <sheetView workbookViewId="0">
      <selection activeCell="B4" sqref="B4"/>
    </sheetView>
  </sheetViews>
  <sheetFormatPr defaultRowHeight="12.75" x14ac:dyDescent="0.2"/>
  <sheetData>
    <row r="1" spans="1:2" x14ac:dyDescent="0.2">
      <c r="A1" t="s">
        <v>219</v>
      </c>
      <c r="B1" t="s">
        <v>220</v>
      </c>
    </row>
    <row r="2" spans="1:2" x14ac:dyDescent="0.2">
      <c r="A2">
        <v>0</v>
      </c>
      <c r="B2">
        <v>9</v>
      </c>
    </row>
    <row r="3" spans="1:2" x14ac:dyDescent="0.2">
      <c r="A3">
        <v>1</v>
      </c>
      <c r="B3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350"/>
  <sheetViews>
    <sheetView topLeftCell="A10" workbookViewId="0">
      <selection activeCell="F14" sqref="A1:H350"/>
    </sheetView>
  </sheetViews>
  <sheetFormatPr defaultRowHeight="12.75" x14ac:dyDescent="0.2"/>
  <cols>
    <col min="1" max="1" width="9.140625" customWidth="1"/>
    <col min="2" max="2" width="0" hidden="1" customWidth="1"/>
    <col min="3" max="3" width="16.7109375" customWidth="1"/>
    <col min="4" max="4" width="0" hidden="1" customWidth="1"/>
    <col min="5" max="5" width="20.42578125" customWidth="1"/>
    <col min="6" max="6" width="17.42578125" customWidth="1"/>
    <col min="7" max="7" width="0" hidden="1" customWidth="1"/>
    <col min="8" max="8" width="13" customWidth="1"/>
  </cols>
  <sheetData>
    <row r="1" spans="1:8" x14ac:dyDescent="0.2">
      <c r="A1" t="s">
        <v>193</v>
      </c>
      <c r="C1" t="s">
        <v>194</v>
      </c>
      <c r="E1" t="s">
        <v>195</v>
      </c>
      <c r="F1" t="s">
        <v>197</v>
      </c>
      <c r="H1" t="s">
        <v>196</v>
      </c>
    </row>
    <row r="2" spans="1:8" x14ac:dyDescent="0.2">
      <c r="A2" s="6">
        <v>0</v>
      </c>
      <c r="B2">
        <f>MATCH($A2,part!$A$1:$A$2001,0)</f>
        <v>2</v>
      </c>
      <c r="C2" t="str">
        <f t="shared" ref="C2:C65" ca="1" si="0">INDIRECT(ADDRESS($B2,2,,,"part"))</f>
        <v>body</v>
      </c>
      <c r="D2">
        <f t="shared" ref="D2:D65" ca="1" si="1">INDIRECT(ADDRESS($B2,3,,,"part"))</f>
        <v>2</v>
      </c>
      <c r="E2" t="str">
        <f t="shared" ref="E2:E65" ca="1" si="2">INDIRECT(ADDRESS($D2+1,2,,,"[namespace.xlsx]part type"))</f>
        <v>BOX</v>
      </c>
      <c r="F2" s="6">
        <f t="shared" ref="F2:F65" ca="1" si="3">INDIRECT(ADDRESS($B2,4,,,"part"))</f>
        <v>-1</v>
      </c>
      <c r="G2">
        <f t="shared" ref="G2:G65" ca="1" si="4">IF($F2&gt;=0,INDIRECT(ADDRESS($F2+2,2,,,"comp")),-1)</f>
        <v>-1</v>
      </c>
      <c r="H2" t="str">
        <f t="shared" ref="H2:H65" ca="1" si="5">INDIRECT(ADDRESS($G2+2,2,,,"[namespace.xlsx]comp type"))</f>
        <v>NONE</v>
      </c>
    </row>
    <row r="3" spans="1:8" x14ac:dyDescent="0.2">
      <c r="A3" s="6">
        <v>1</v>
      </c>
      <c r="B3">
        <f>MATCH($A3,part!$A$1:$A$2001,0)</f>
        <v>3</v>
      </c>
      <c r="C3" t="str">
        <f t="shared" ca="1" si="0"/>
        <v>arm1</v>
      </c>
      <c r="D3">
        <f t="shared" ca="1" si="1"/>
        <v>2</v>
      </c>
      <c r="E3" t="str">
        <f t="shared" ca="1" si="2"/>
        <v>BOX</v>
      </c>
      <c r="F3" s="6">
        <f t="shared" ca="1" si="3"/>
        <v>-1</v>
      </c>
      <c r="G3">
        <f t="shared" ca="1" si="4"/>
        <v>-1</v>
      </c>
      <c r="H3" t="str">
        <f t="shared" ca="1" si="5"/>
        <v>NONE</v>
      </c>
    </row>
    <row r="4" spans="1:8" x14ac:dyDescent="0.2">
      <c r="A4" s="6">
        <v>2</v>
      </c>
      <c r="B4">
        <f>MATCH($A4,part!$A$1:$A$2001,0)</f>
        <v>4</v>
      </c>
      <c r="C4" t="str">
        <f t="shared" ca="1" si="0"/>
        <v>arm2</v>
      </c>
      <c r="D4">
        <f t="shared" ca="1" si="1"/>
        <v>2</v>
      </c>
      <c r="E4" t="str">
        <f t="shared" ca="1" si="2"/>
        <v>BOX</v>
      </c>
      <c r="F4" s="6">
        <f t="shared" ca="1" si="3"/>
        <v>-1</v>
      </c>
      <c r="G4">
        <f t="shared" ca="1" si="4"/>
        <v>-1</v>
      </c>
      <c r="H4" t="str">
        <f t="shared" ca="1" si="5"/>
        <v>NONE</v>
      </c>
    </row>
    <row r="5" spans="1:8" x14ac:dyDescent="0.2">
      <c r="A5" s="6">
        <v>3</v>
      </c>
      <c r="B5">
        <f>MATCH($A5,part!$A$1:$A$2001,0)</f>
        <v>5</v>
      </c>
      <c r="C5" t="str">
        <f t="shared" ca="1" si="0"/>
        <v>arm3</v>
      </c>
      <c r="D5">
        <f t="shared" ca="1" si="1"/>
        <v>2</v>
      </c>
      <c r="E5" t="str">
        <f t="shared" ca="1" si="2"/>
        <v>BOX</v>
      </c>
      <c r="F5" s="6">
        <f t="shared" ca="1" si="3"/>
        <v>-1</v>
      </c>
      <c r="G5">
        <f t="shared" ca="1" si="4"/>
        <v>-1</v>
      </c>
      <c r="H5" t="str">
        <f t="shared" ca="1" si="5"/>
        <v>NONE</v>
      </c>
    </row>
    <row r="6" spans="1:8" x14ac:dyDescent="0.2">
      <c r="A6" s="6">
        <v>4</v>
      </c>
      <c r="B6">
        <f>MATCH($A6,part!$A$1:$A$2001,0)</f>
        <v>6</v>
      </c>
      <c r="C6" t="str">
        <f t="shared" ca="1" si="0"/>
        <v>arm4</v>
      </c>
      <c r="D6">
        <f t="shared" ca="1" si="1"/>
        <v>2</v>
      </c>
      <c r="E6" t="str">
        <f t="shared" ca="1" si="2"/>
        <v>BOX</v>
      </c>
      <c r="F6" s="6">
        <f t="shared" ca="1" si="3"/>
        <v>-1</v>
      </c>
      <c r="G6">
        <f t="shared" ca="1" si="4"/>
        <v>-1</v>
      </c>
      <c r="H6" t="str">
        <f t="shared" ca="1" si="5"/>
        <v>NONE</v>
      </c>
    </row>
    <row r="7" spans="1:8" x14ac:dyDescent="0.2">
      <c r="A7" s="6">
        <v>5</v>
      </c>
      <c r="B7">
        <f>MATCH($A7,part!$A$1:$A$2001,0)</f>
        <v>7</v>
      </c>
      <c r="C7" t="str">
        <f t="shared" ca="1" si="0"/>
        <v>motor1</v>
      </c>
      <c r="D7">
        <f t="shared" ca="1" si="1"/>
        <v>3</v>
      </c>
      <c r="E7" t="str">
        <f t="shared" ca="1" si="2"/>
        <v>CYLINDER</v>
      </c>
      <c r="F7" s="6">
        <f t="shared" ca="1" si="3"/>
        <v>0</v>
      </c>
      <c r="G7">
        <f t="shared" ca="1" si="4"/>
        <v>14</v>
      </c>
      <c r="H7" t="str">
        <f t="shared" ca="1" si="5"/>
        <v>MOTR</v>
      </c>
    </row>
    <row r="8" spans="1:8" x14ac:dyDescent="0.2">
      <c r="A8" s="6">
        <v>6</v>
      </c>
      <c r="B8">
        <f>MATCH($A8,part!$A$1:$A$2001,0)</f>
        <v>8</v>
      </c>
      <c r="C8" t="str">
        <f t="shared" ca="1" si="0"/>
        <v>motor2</v>
      </c>
      <c r="D8">
        <f t="shared" ca="1" si="1"/>
        <v>3</v>
      </c>
      <c r="E8" t="str">
        <f t="shared" ca="1" si="2"/>
        <v>CYLINDER</v>
      </c>
      <c r="F8" s="6">
        <f t="shared" ca="1" si="3"/>
        <v>1</v>
      </c>
      <c r="G8">
        <f t="shared" ca="1" si="4"/>
        <v>14</v>
      </c>
      <c r="H8" t="str">
        <f t="shared" ca="1" si="5"/>
        <v>MOTR</v>
      </c>
    </row>
    <row r="9" spans="1:8" x14ac:dyDescent="0.2">
      <c r="A9" s="6">
        <v>7</v>
      </c>
      <c r="B9">
        <f>MATCH($A9,part!$A$1:$A$2001,0)</f>
        <v>9</v>
      </c>
      <c r="C9" t="str">
        <f t="shared" ca="1" si="0"/>
        <v>motor3</v>
      </c>
      <c r="D9">
        <f t="shared" ca="1" si="1"/>
        <v>3</v>
      </c>
      <c r="E9" t="str">
        <f t="shared" ca="1" si="2"/>
        <v>CYLINDER</v>
      </c>
      <c r="F9" s="6">
        <f t="shared" ca="1" si="3"/>
        <v>2</v>
      </c>
      <c r="G9">
        <f t="shared" ca="1" si="4"/>
        <v>14</v>
      </c>
      <c r="H9" t="str">
        <f t="shared" ca="1" si="5"/>
        <v>MOTR</v>
      </c>
    </row>
    <row r="10" spans="1:8" x14ac:dyDescent="0.2">
      <c r="A10" s="6">
        <v>8</v>
      </c>
      <c r="B10">
        <f>MATCH($A10,part!$A$1:$A$2001,0)</f>
        <v>10</v>
      </c>
      <c r="C10" t="str">
        <f t="shared" ca="1" si="0"/>
        <v>motor4</v>
      </c>
      <c r="D10">
        <f t="shared" ca="1" si="1"/>
        <v>3</v>
      </c>
      <c r="E10" t="str">
        <f t="shared" ca="1" si="2"/>
        <v>CYLINDER</v>
      </c>
      <c r="F10" s="6">
        <f t="shared" ca="1" si="3"/>
        <v>3</v>
      </c>
      <c r="G10">
        <f t="shared" ca="1" si="4"/>
        <v>14</v>
      </c>
      <c r="H10" t="str">
        <f t="shared" ca="1" si="5"/>
        <v>MOTR</v>
      </c>
    </row>
    <row r="11" spans="1:8" x14ac:dyDescent="0.2">
      <c r="A11" s="6">
        <v>9</v>
      </c>
      <c r="B11">
        <f>MATCH($A11,part!$A$1:$A$2001,0)</f>
        <v>11</v>
      </c>
      <c r="C11" t="str">
        <f t="shared" ca="1" si="0"/>
        <v>gps</v>
      </c>
      <c r="D11">
        <f t="shared" ca="1" si="1"/>
        <v>5</v>
      </c>
      <c r="E11" t="str">
        <f t="shared" ca="1" si="2"/>
        <v>DIMENSIONLESS</v>
      </c>
      <c r="F11" s="6">
        <f t="shared" ca="1" si="3"/>
        <v>4</v>
      </c>
      <c r="G11">
        <f t="shared" ca="1" si="4"/>
        <v>6</v>
      </c>
      <c r="H11" t="str">
        <f t="shared" ca="1" si="5"/>
        <v>GPS</v>
      </c>
    </row>
    <row r="12" spans="1:8" x14ac:dyDescent="0.2">
      <c r="A12" s="6">
        <v>10</v>
      </c>
      <c r="B12">
        <f>MATCH($A12,part!$A$1:$A$2001,0)</f>
        <v>12</v>
      </c>
      <c r="C12" t="str">
        <f t="shared" ca="1" si="0"/>
        <v>imu</v>
      </c>
      <c r="D12">
        <f t="shared" ca="1" si="1"/>
        <v>5</v>
      </c>
      <c r="E12" t="str">
        <f t="shared" ca="1" si="2"/>
        <v>DIMENSIONLESS</v>
      </c>
      <c r="F12" s="6">
        <f t="shared" ca="1" si="3"/>
        <v>5</v>
      </c>
      <c r="G12">
        <f t="shared" ca="1" si="4"/>
        <v>2</v>
      </c>
      <c r="H12" t="str">
        <f t="shared" ca="1" si="5"/>
        <v>IMU</v>
      </c>
    </row>
    <row r="13" spans="1:8" x14ac:dyDescent="0.2">
      <c r="A13" s="6">
        <v>11</v>
      </c>
      <c r="B13">
        <f>MATCH($A13,part!$A$1:$A$2001,0)</f>
        <v>13</v>
      </c>
      <c r="C13" t="str">
        <f t="shared" ca="1" si="0"/>
        <v>cpu</v>
      </c>
      <c r="D13">
        <f t="shared" ca="1" si="1"/>
        <v>5</v>
      </c>
      <c r="E13" t="str">
        <f t="shared" ca="1" si="2"/>
        <v>DIMENSIONLESS</v>
      </c>
      <c r="F13" s="6">
        <f t="shared" ca="1" si="3"/>
        <v>6</v>
      </c>
      <c r="G13">
        <f t="shared" ca="1" si="4"/>
        <v>5</v>
      </c>
      <c r="H13" t="str">
        <f t="shared" ca="1" si="5"/>
        <v>CPU</v>
      </c>
    </row>
    <row r="14" spans="1:8" x14ac:dyDescent="0.2">
      <c r="A14" s="6">
        <v>12</v>
      </c>
      <c r="B14">
        <f>MATCH($A14,part!$A$1:$A$2001,0)</f>
        <v>14</v>
      </c>
      <c r="C14" t="str">
        <f t="shared" ca="1" si="0"/>
        <v>lander</v>
      </c>
      <c r="D14">
        <f t="shared" ca="1" si="1"/>
        <v>5</v>
      </c>
      <c r="E14" t="str">
        <f t="shared" ca="1" si="2"/>
        <v>DIMENSIONLESS</v>
      </c>
      <c r="F14" s="6">
        <f t="shared" ca="1" si="3"/>
        <v>7</v>
      </c>
      <c r="G14">
        <f t="shared" ca="1" si="4"/>
        <v>0</v>
      </c>
      <c r="H14" t="str">
        <f t="shared" ca="1" si="5"/>
        <v>PLOAD</v>
      </c>
    </row>
    <row r="15" spans="1:8" x14ac:dyDescent="0.2">
      <c r="A15" s="6">
        <v>13</v>
      </c>
      <c r="B15">
        <f>MATCH($A15,part!$A$1:$A$2001,0)</f>
        <v>15</v>
      </c>
      <c r="C15" t="str">
        <f t="shared" ca="1" si="0"/>
        <v>battery</v>
      </c>
      <c r="D15">
        <f t="shared" ca="1" si="1"/>
        <v>5</v>
      </c>
      <c r="E15" t="str">
        <f t="shared" ca="1" si="2"/>
        <v>DIMENSIONLESS</v>
      </c>
      <c r="F15" s="6">
        <f t="shared" ca="1" si="3"/>
        <v>8</v>
      </c>
      <c r="G15">
        <f t="shared" ca="1" si="4"/>
        <v>12</v>
      </c>
      <c r="H15" t="str">
        <f t="shared" ca="1" si="5"/>
        <v>BATT</v>
      </c>
    </row>
    <row r="16" spans="1:8" x14ac:dyDescent="0.2">
      <c r="A16" s="6">
        <v>14</v>
      </c>
      <c r="B16">
        <f>MATCH($A16,part!$A$1:$A$2001,0)</f>
        <v>16</v>
      </c>
      <c r="C16" t="str">
        <f t="shared" ca="1" si="0"/>
        <v>release</v>
      </c>
      <c r="D16">
        <f t="shared" ca="1" si="1"/>
        <v>5</v>
      </c>
      <c r="E16" t="str">
        <f t="shared" ca="1" si="2"/>
        <v>DIMENSIONLESS</v>
      </c>
      <c r="F16" s="6">
        <f t="shared" ca="1" si="3"/>
        <v>9</v>
      </c>
      <c r="G16">
        <f t="shared" ca="1" si="4"/>
        <v>18</v>
      </c>
      <c r="H16" t="str">
        <f t="shared" ca="1" si="5"/>
        <v>SWCH</v>
      </c>
    </row>
    <row r="17" spans="1:8" x14ac:dyDescent="0.2">
      <c r="A17" s="6">
        <v>15</v>
      </c>
      <c r="B17">
        <f>MATCH($A17,part!$A$1:$A$2001,0)</f>
        <v>17</v>
      </c>
      <c r="C17" t="str">
        <f t="shared" ca="1" si="0"/>
        <v>deploy</v>
      </c>
      <c r="D17">
        <f t="shared" ca="1" si="1"/>
        <v>5</v>
      </c>
      <c r="E17" t="str">
        <f t="shared" ca="1" si="2"/>
        <v>DIMENSIONLESS</v>
      </c>
      <c r="F17" s="6">
        <f t="shared" ca="1" si="3"/>
        <v>10</v>
      </c>
      <c r="G17">
        <f t="shared" ca="1" si="4"/>
        <v>18</v>
      </c>
      <c r="H17" t="str">
        <f t="shared" ca="1" si="5"/>
        <v>SWCH</v>
      </c>
    </row>
    <row r="18" spans="1:8" x14ac:dyDescent="0.2">
      <c r="A18" s="6">
        <v>16</v>
      </c>
      <c r="B18">
        <f>MATCH($A18,part!$A$1:$A$2001,0)</f>
        <v>18</v>
      </c>
      <c r="C18" t="str">
        <f t="shared" ca="1" si="0"/>
        <v>rover</v>
      </c>
      <c r="D18">
        <f t="shared" ca="1" si="1"/>
        <v>5</v>
      </c>
      <c r="E18" t="str">
        <f t="shared" ca="1" si="2"/>
        <v>DIMENSIONLESS</v>
      </c>
      <c r="F18" s="6">
        <f t="shared" ca="1" si="3"/>
        <v>11</v>
      </c>
      <c r="G18">
        <f t="shared" ca="1" si="4"/>
        <v>0</v>
      </c>
      <c r="H18" t="str">
        <f t="shared" ca="1" si="5"/>
        <v>PLOAD</v>
      </c>
    </row>
    <row r="19" spans="1:8" x14ac:dyDescent="0.2">
      <c r="A19" s="6">
        <v>17</v>
      </c>
      <c r="B19" t="e">
        <f>MATCH($A19,part!$A$1:$A$2001,0)</f>
        <v>#N/A</v>
      </c>
      <c r="C19" t="e">
        <f t="shared" ca="1" si="0"/>
        <v>#N/A</v>
      </c>
      <c r="D19" t="e">
        <f t="shared" ca="1" si="1"/>
        <v>#N/A</v>
      </c>
      <c r="E19" t="e">
        <f t="shared" ca="1" si="2"/>
        <v>#N/A</v>
      </c>
      <c r="F19" s="6" t="e">
        <f t="shared" ca="1" si="3"/>
        <v>#N/A</v>
      </c>
      <c r="G19" t="e">
        <f t="shared" ca="1" si="4"/>
        <v>#N/A</v>
      </c>
      <c r="H19" t="e">
        <f t="shared" ca="1" si="5"/>
        <v>#N/A</v>
      </c>
    </row>
    <row r="20" spans="1:8" x14ac:dyDescent="0.2">
      <c r="A20" s="6">
        <v>18</v>
      </c>
      <c r="B20" t="e">
        <f>MATCH($A20,part!$A$1:$A$2001,0)</f>
        <v>#N/A</v>
      </c>
      <c r="C20" t="e">
        <f t="shared" ca="1" si="0"/>
        <v>#N/A</v>
      </c>
      <c r="D20" t="e">
        <f t="shared" ca="1" si="1"/>
        <v>#N/A</v>
      </c>
      <c r="E20" t="e">
        <f t="shared" ca="1" si="2"/>
        <v>#N/A</v>
      </c>
      <c r="F20" s="6" t="e">
        <f t="shared" ca="1" si="3"/>
        <v>#N/A</v>
      </c>
      <c r="G20" t="e">
        <f t="shared" ca="1" si="4"/>
        <v>#N/A</v>
      </c>
      <c r="H20" t="e">
        <f t="shared" ca="1" si="5"/>
        <v>#N/A</v>
      </c>
    </row>
    <row r="21" spans="1:8" x14ac:dyDescent="0.2">
      <c r="A21" s="6">
        <v>19</v>
      </c>
      <c r="B21" t="e">
        <f>MATCH($A21,part!$A$1:$A$2001,0)</f>
        <v>#N/A</v>
      </c>
      <c r="C21" t="e">
        <f t="shared" ca="1" si="0"/>
        <v>#N/A</v>
      </c>
      <c r="D21" t="e">
        <f t="shared" ca="1" si="1"/>
        <v>#N/A</v>
      </c>
      <c r="E21" t="e">
        <f t="shared" ca="1" si="2"/>
        <v>#N/A</v>
      </c>
      <c r="F21" s="6" t="e">
        <f t="shared" ca="1" si="3"/>
        <v>#N/A</v>
      </c>
      <c r="G21" t="e">
        <f t="shared" ca="1" si="4"/>
        <v>#N/A</v>
      </c>
      <c r="H21" t="e">
        <f t="shared" ca="1" si="5"/>
        <v>#N/A</v>
      </c>
    </row>
    <row r="22" spans="1:8" x14ac:dyDescent="0.2">
      <c r="A22" s="6">
        <v>20</v>
      </c>
      <c r="B22" t="e">
        <f>MATCH($A22,part!$A$1:$A$2001,0)</f>
        <v>#N/A</v>
      </c>
      <c r="C22" t="e">
        <f t="shared" ca="1" si="0"/>
        <v>#N/A</v>
      </c>
      <c r="D22" t="e">
        <f t="shared" ca="1" si="1"/>
        <v>#N/A</v>
      </c>
      <c r="E22" t="e">
        <f t="shared" ca="1" si="2"/>
        <v>#N/A</v>
      </c>
      <c r="F22" s="6" t="e">
        <f t="shared" ca="1" si="3"/>
        <v>#N/A</v>
      </c>
      <c r="G22" t="e">
        <f t="shared" ca="1" si="4"/>
        <v>#N/A</v>
      </c>
      <c r="H22" t="e">
        <f t="shared" ca="1" si="5"/>
        <v>#N/A</v>
      </c>
    </row>
    <row r="23" spans="1:8" x14ac:dyDescent="0.2">
      <c r="A23" s="6">
        <v>21</v>
      </c>
      <c r="B23" t="e">
        <f>MATCH($A23,part!$A$1:$A$2001,0)</f>
        <v>#N/A</v>
      </c>
      <c r="C23" t="e">
        <f t="shared" ca="1" si="0"/>
        <v>#N/A</v>
      </c>
      <c r="D23" t="e">
        <f t="shared" ca="1" si="1"/>
        <v>#N/A</v>
      </c>
      <c r="E23" t="e">
        <f t="shared" ca="1" si="2"/>
        <v>#N/A</v>
      </c>
      <c r="F23" s="6" t="e">
        <f t="shared" ca="1" si="3"/>
        <v>#N/A</v>
      </c>
      <c r="G23" t="e">
        <f t="shared" ca="1" si="4"/>
        <v>#N/A</v>
      </c>
      <c r="H23" t="e">
        <f t="shared" ca="1" si="5"/>
        <v>#N/A</v>
      </c>
    </row>
    <row r="24" spans="1:8" x14ac:dyDescent="0.2">
      <c r="A24" s="6">
        <v>22</v>
      </c>
      <c r="B24" t="e">
        <f>MATCH($A24,part!$A$1:$A$2001,0)</f>
        <v>#N/A</v>
      </c>
      <c r="C24" t="e">
        <f t="shared" ca="1" si="0"/>
        <v>#N/A</v>
      </c>
      <c r="D24" t="e">
        <f t="shared" ca="1" si="1"/>
        <v>#N/A</v>
      </c>
      <c r="E24" t="e">
        <f t="shared" ca="1" si="2"/>
        <v>#N/A</v>
      </c>
      <c r="F24" s="6" t="e">
        <f t="shared" ca="1" si="3"/>
        <v>#N/A</v>
      </c>
      <c r="G24" t="e">
        <f t="shared" ca="1" si="4"/>
        <v>#N/A</v>
      </c>
      <c r="H24" t="e">
        <f t="shared" ca="1" si="5"/>
        <v>#N/A</v>
      </c>
    </row>
    <row r="25" spans="1:8" x14ac:dyDescent="0.2">
      <c r="A25" s="6">
        <v>23</v>
      </c>
      <c r="B25" t="e">
        <f>MATCH($A25,part!$A$1:$A$2001,0)</f>
        <v>#N/A</v>
      </c>
      <c r="C25" t="e">
        <f t="shared" ca="1" si="0"/>
        <v>#N/A</v>
      </c>
      <c r="D25" t="e">
        <f t="shared" ca="1" si="1"/>
        <v>#N/A</v>
      </c>
      <c r="E25" t="e">
        <f t="shared" ca="1" si="2"/>
        <v>#N/A</v>
      </c>
      <c r="F25" s="6" t="e">
        <f t="shared" ca="1" si="3"/>
        <v>#N/A</v>
      </c>
      <c r="G25" t="e">
        <f t="shared" ca="1" si="4"/>
        <v>#N/A</v>
      </c>
      <c r="H25" t="e">
        <f t="shared" ca="1" si="5"/>
        <v>#N/A</v>
      </c>
    </row>
    <row r="26" spans="1:8" x14ac:dyDescent="0.2">
      <c r="A26" s="6">
        <v>24</v>
      </c>
      <c r="B26" t="e">
        <f>MATCH($A26,part!$A$1:$A$2001,0)</f>
        <v>#N/A</v>
      </c>
      <c r="C26" t="e">
        <f t="shared" ca="1" si="0"/>
        <v>#N/A</v>
      </c>
      <c r="D26" t="e">
        <f t="shared" ca="1" si="1"/>
        <v>#N/A</v>
      </c>
      <c r="E26" t="e">
        <f t="shared" ca="1" si="2"/>
        <v>#N/A</v>
      </c>
      <c r="F26" s="6" t="e">
        <f t="shared" ca="1" si="3"/>
        <v>#N/A</v>
      </c>
      <c r="G26" t="e">
        <f t="shared" ca="1" si="4"/>
        <v>#N/A</v>
      </c>
      <c r="H26" t="e">
        <f t="shared" ca="1" si="5"/>
        <v>#N/A</v>
      </c>
    </row>
    <row r="27" spans="1:8" x14ac:dyDescent="0.2">
      <c r="A27" s="6">
        <v>25</v>
      </c>
      <c r="B27" t="e">
        <f>MATCH($A27,part!$A$1:$A$2001,0)</f>
        <v>#N/A</v>
      </c>
      <c r="C27" t="e">
        <f t="shared" ca="1" si="0"/>
        <v>#N/A</v>
      </c>
      <c r="D27" t="e">
        <f t="shared" ca="1" si="1"/>
        <v>#N/A</v>
      </c>
      <c r="E27" t="e">
        <f t="shared" ca="1" si="2"/>
        <v>#N/A</v>
      </c>
      <c r="F27" s="6" t="e">
        <f t="shared" ca="1" si="3"/>
        <v>#N/A</v>
      </c>
      <c r="G27" t="e">
        <f t="shared" ca="1" si="4"/>
        <v>#N/A</v>
      </c>
      <c r="H27" t="e">
        <f t="shared" ca="1" si="5"/>
        <v>#N/A</v>
      </c>
    </row>
    <row r="28" spans="1:8" x14ac:dyDescent="0.2">
      <c r="A28" s="6">
        <v>26</v>
      </c>
      <c r="B28" t="e">
        <f>MATCH($A28,part!$A$1:$A$2001,0)</f>
        <v>#N/A</v>
      </c>
      <c r="C28" t="e">
        <f t="shared" ca="1" si="0"/>
        <v>#N/A</v>
      </c>
      <c r="D28" t="e">
        <f t="shared" ca="1" si="1"/>
        <v>#N/A</v>
      </c>
      <c r="E28" t="e">
        <f t="shared" ca="1" si="2"/>
        <v>#N/A</v>
      </c>
      <c r="F28" s="6" t="e">
        <f t="shared" ca="1" si="3"/>
        <v>#N/A</v>
      </c>
      <c r="G28" t="e">
        <f t="shared" ca="1" si="4"/>
        <v>#N/A</v>
      </c>
      <c r="H28" t="e">
        <f t="shared" ca="1" si="5"/>
        <v>#N/A</v>
      </c>
    </row>
    <row r="29" spans="1:8" x14ac:dyDescent="0.2">
      <c r="A29" s="6">
        <v>27</v>
      </c>
      <c r="B29" t="e">
        <f>MATCH($A29,part!$A$1:$A$2001,0)</f>
        <v>#N/A</v>
      </c>
      <c r="C29" t="e">
        <f t="shared" ca="1" si="0"/>
        <v>#N/A</v>
      </c>
      <c r="D29" t="e">
        <f t="shared" ca="1" si="1"/>
        <v>#N/A</v>
      </c>
      <c r="E29" t="e">
        <f t="shared" ca="1" si="2"/>
        <v>#N/A</v>
      </c>
      <c r="F29" s="6" t="e">
        <f t="shared" ca="1" si="3"/>
        <v>#N/A</v>
      </c>
      <c r="G29" t="e">
        <f t="shared" ca="1" si="4"/>
        <v>#N/A</v>
      </c>
      <c r="H29" t="e">
        <f t="shared" ca="1" si="5"/>
        <v>#N/A</v>
      </c>
    </row>
    <row r="30" spans="1:8" x14ac:dyDescent="0.2">
      <c r="A30" s="6">
        <v>28</v>
      </c>
      <c r="B30" t="e">
        <f>MATCH($A30,part!$A$1:$A$2001,0)</f>
        <v>#N/A</v>
      </c>
      <c r="C30" t="e">
        <f t="shared" ca="1" si="0"/>
        <v>#N/A</v>
      </c>
      <c r="D30" t="e">
        <f t="shared" ca="1" si="1"/>
        <v>#N/A</v>
      </c>
      <c r="E30" t="e">
        <f t="shared" ca="1" si="2"/>
        <v>#N/A</v>
      </c>
      <c r="F30" s="6" t="e">
        <f t="shared" ca="1" si="3"/>
        <v>#N/A</v>
      </c>
      <c r="G30" t="e">
        <f t="shared" ca="1" si="4"/>
        <v>#N/A</v>
      </c>
      <c r="H30" t="e">
        <f t="shared" ca="1" si="5"/>
        <v>#N/A</v>
      </c>
    </row>
    <row r="31" spans="1:8" x14ac:dyDescent="0.2">
      <c r="A31" s="6">
        <v>29</v>
      </c>
      <c r="B31" t="e">
        <f>MATCH($A31,part!$A$1:$A$2001,0)</f>
        <v>#N/A</v>
      </c>
      <c r="C31" t="e">
        <f t="shared" ca="1" si="0"/>
        <v>#N/A</v>
      </c>
      <c r="D31" t="e">
        <f t="shared" ca="1" si="1"/>
        <v>#N/A</v>
      </c>
      <c r="E31" t="e">
        <f t="shared" ca="1" si="2"/>
        <v>#N/A</v>
      </c>
      <c r="F31" s="6" t="e">
        <f t="shared" ca="1" si="3"/>
        <v>#N/A</v>
      </c>
      <c r="G31" t="e">
        <f t="shared" ca="1" si="4"/>
        <v>#N/A</v>
      </c>
      <c r="H31" t="e">
        <f t="shared" ca="1" si="5"/>
        <v>#N/A</v>
      </c>
    </row>
    <row r="32" spans="1:8" x14ac:dyDescent="0.2">
      <c r="A32" s="6">
        <v>30</v>
      </c>
      <c r="B32" t="e">
        <f>MATCH($A32,part!$A$1:$A$2001,0)</f>
        <v>#N/A</v>
      </c>
      <c r="C32" t="e">
        <f t="shared" ca="1" si="0"/>
        <v>#N/A</v>
      </c>
      <c r="D32" t="e">
        <f t="shared" ca="1" si="1"/>
        <v>#N/A</v>
      </c>
      <c r="E32" t="e">
        <f t="shared" ca="1" si="2"/>
        <v>#N/A</v>
      </c>
      <c r="F32" s="6" t="e">
        <f t="shared" ca="1" si="3"/>
        <v>#N/A</v>
      </c>
      <c r="G32" t="e">
        <f t="shared" ca="1" si="4"/>
        <v>#N/A</v>
      </c>
      <c r="H32" t="e">
        <f t="shared" ca="1" si="5"/>
        <v>#N/A</v>
      </c>
    </row>
    <row r="33" spans="1:8" x14ac:dyDescent="0.2">
      <c r="A33" s="6">
        <v>31</v>
      </c>
      <c r="B33" t="e">
        <f>MATCH($A33,part!$A$1:$A$2001,0)</f>
        <v>#N/A</v>
      </c>
      <c r="C33" t="e">
        <f t="shared" ca="1" si="0"/>
        <v>#N/A</v>
      </c>
      <c r="D33" t="e">
        <f t="shared" ca="1" si="1"/>
        <v>#N/A</v>
      </c>
      <c r="E33" t="e">
        <f t="shared" ca="1" si="2"/>
        <v>#N/A</v>
      </c>
      <c r="F33" s="6" t="e">
        <f t="shared" ca="1" si="3"/>
        <v>#N/A</v>
      </c>
      <c r="G33" t="e">
        <f t="shared" ca="1" si="4"/>
        <v>#N/A</v>
      </c>
      <c r="H33" t="e">
        <f t="shared" ca="1" si="5"/>
        <v>#N/A</v>
      </c>
    </row>
    <row r="34" spans="1:8" x14ac:dyDescent="0.2">
      <c r="A34" s="6">
        <v>32</v>
      </c>
      <c r="B34" t="e">
        <f>MATCH($A34,part!$A$1:$A$2001,0)</f>
        <v>#N/A</v>
      </c>
      <c r="C34" t="e">
        <f t="shared" ca="1" si="0"/>
        <v>#N/A</v>
      </c>
      <c r="D34" t="e">
        <f t="shared" ca="1" si="1"/>
        <v>#N/A</v>
      </c>
      <c r="E34" t="e">
        <f t="shared" ca="1" si="2"/>
        <v>#N/A</v>
      </c>
      <c r="F34" s="6" t="e">
        <f t="shared" ca="1" si="3"/>
        <v>#N/A</v>
      </c>
      <c r="G34" t="e">
        <f t="shared" ca="1" si="4"/>
        <v>#N/A</v>
      </c>
      <c r="H34" t="e">
        <f t="shared" ca="1" si="5"/>
        <v>#N/A</v>
      </c>
    </row>
    <row r="35" spans="1:8" x14ac:dyDescent="0.2">
      <c r="A35" s="6">
        <v>33</v>
      </c>
      <c r="B35" t="e">
        <f>MATCH($A35,part!$A$1:$A$2001,0)</f>
        <v>#N/A</v>
      </c>
      <c r="C35" t="e">
        <f t="shared" ca="1" si="0"/>
        <v>#N/A</v>
      </c>
      <c r="D35" t="e">
        <f t="shared" ca="1" si="1"/>
        <v>#N/A</v>
      </c>
      <c r="E35" t="e">
        <f t="shared" ca="1" si="2"/>
        <v>#N/A</v>
      </c>
      <c r="F35" s="6" t="e">
        <f t="shared" ca="1" si="3"/>
        <v>#N/A</v>
      </c>
      <c r="G35" t="e">
        <f t="shared" ca="1" si="4"/>
        <v>#N/A</v>
      </c>
      <c r="H35" t="e">
        <f t="shared" ca="1" si="5"/>
        <v>#N/A</v>
      </c>
    </row>
    <row r="36" spans="1:8" x14ac:dyDescent="0.2">
      <c r="A36" s="6">
        <v>34</v>
      </c>
      <c r="B36" t="e">
        <f>MATCH($A36,part!$A$1:$A$2001,0)</f>
        <v>#N/A</v>
      </c>
      <c r="C36" t="e">
        <f t="shared" ca="1" si="0"/>
        <v>#N/A</v>
      </c>
      <c r="D36" t="e">
        <f t="shared" ca="1" si="1"/>
        <v>#N/A</v>
      </c>
      <c r="E36" t="e">
        <f t="shared" ca="1" si="2"/>
        <v>#N/A</v>
      </c>
      <c r="F36" s="6" t="e">
        <f t="shared" ca="1" si="3"/>
        <v>#N/A</v>
      </c>
      <c r="G36" t="e">
        <f t="shared" ca="1" si="4"/>
        <v>#N/A</v>
      </c>
      <c r="H36" t="e">
        <f t="shared" ca="1" si="5"/>
        <v>#N/A</v>
      </c>
    </row>
    <row r="37" spans="1:8" x14ac:dyDescent="0.2">
      <c r="A37" s="6">
        <v>35</v>
      </c>
      <c r="B37" t="e">
        <f>MATCH($A37,part!$A$1:$A$2001,0)</f>
        <v>#N/A</v>
      </c>
      <c r="C37" t="e">
        <f t="shared" ca="1" si="0"/>
        <v>#N/A</v>
      </c>
      <c r="D37" t="e">
        <f t="shared" ca="1" si="1"/>
        <v>#N/A</v>
      </c>
      <c r="E37" t="e">
        <f t="shared" ca="1" si="2"/>
        <v>#N/A</v>
      </c>
      <c r="F37" s="6" t="e">
        <f t="shared" ca="1" si="3"/>
        <v>#N/A</v>
      </c>
      <c r="G37" t="e">
        <f t="shared" ca="1" si="4"/>
        <v>#N/A</v>
      </c>
      <c r="H37" t="e">
        <f t="shared" ca="1" si="5"/>
        <v>#N/A</v>
      </c>
    </row>
    <row r="38" spans="1:8" x14ac:dyDescent="0.2">
      <c r="A38" s="6">
        <v>36</v>
      </c>
      <c r="B38" t="e">
        <f>MATCH($A38,part!$A$1:$A$2001,0)</f>
        <v>#N/A</v>
      </c>
      <c r="C38" t="e">
        <f t="shared" ca="1" si="0"/>
        <v>#N/A</v>
      </c>
      <c r="D38" t="e">
        <f t="shared" ca="1" si="1"/>
        <v>#N/A</v>
      </c>
      <c r="E38" t="e">
        <f t="shared" ca="1" si="2"/>
        <v>#N/A</v>
      </c>
      <c r="F38" s="6" t="e">
        <f t="shared" ca="1" si="3"/>
        <v>#N/A</v>
      </c>
      <c r="G38" t="e">
        <f t="shared" ca="1" si="4"/>
        <v>#N/A</v>
      </c>
      <c r="H38" t="e">
        <f t="shared" ca="1" si="5"/>
        <v>#N/A</v>
      </c>
    </row>
    <row r="39" spans="1:8" x14ac:dyDescent="0.2">
      <c r="A39" s="6">
        <v>37</v>
      </c>
      <c r="B39" t="e">
        <f>MATCH($A39,part!$A$1:$A$2001,0)</f>
        <v>#N/A</v>
      </c>
      <c r="C39" t="e">
        <f t="shared" ca="1" si="0"/>
        <v>#N/A</v>
      </c>
      <c r="D39" t="e">
        <f t="shared" ca="1" si="1"/>
        <v>#N/A</v>
      </c>
      <c r="E39" t="e">
        <f t="shared" ca="1" si="2"/>
        <v>#N/A</v>
      </c>
      <c r="F39" s="6" t="e">
        <f t="shared" ca="1" si="3"/>
        <v>#N/A</v>
      </c>
      <c r="G39" t="e">
        <f t="shared" ca="1" si="4"/>
        <v>#N/A</v>
      </c>
      <c r="H39" t="e">
        <f t="shared" ca="1" si="5"/>
        <v>#N/A</v>
      </c>
    </row>
    <row r="40" spans="1:8" x14ac:dyDescent="0.2">
      <c r="A40" s="6">
        <v>38</v>
      </c>
      <c r="B40" t="e">
        <f>MATCH($A40,part!$A$1:$A$2001,0)</f>
        <v>#N/A</v>
      </c>
      <c r="C40" t="e">
        <f t="shared" ca="1" si="0"/>
        <v>#N/A</v>
      </c>
      <c r="D40" t="e">
        <f t="shared" ca="1" si="1"/>
        <v>#N/A</v>
      </c>
      <c r="E40" t="e">
        <f t="shared" ca="1" si="2"/>
        <v>#N/A</v>
      </c>
      <c r="F40" s="6" t="e">
        <f t="shared" ca="1" si="3"/>
        <v>#N/A</v>
      </c>
      <c r="G40" t="e">
        <f t="shared" ca="1" si="4"/>
        <v>#N/A</v>
      </c>
      <c r="H40" t="e">
        <f t="shared" ca="1" si="5"/>
        <v>#N/A</v>
      </c>
    </row>
    <row r="41" spans="1:8" x14ac:dyDescent="0.2">
      <c r="A41" s="6">
        <v>39</v>
      </c>
      <c r="B41" t="e">
        <f>MATCH($A41,part!$A$1:$A$2001,0)</f>
        <v>#N/A</v>
      </c>
      <c r="C41" t="e">
        <f t="shared" ca="1" si="0"/>
        <v>#N/A</v>
      </c>
      <c r="D41" t="e">
        <f t="shared" ca="1" si="1"/>
        <v>#N/A</v>
      </c>
      <c r="E41" t="e">
        <f t="shared" ca="1" si="2"/>
        <v>#N/A</v>
      </c>
      <c r="F41" s="6" t="e">
        <f t="shared" ca="1" si="3"/>
        <v>#N/A</v>
      </c>
      <c r="G41" t="e">
        <f t="shared" ca="1" si="4"/>
        <v>#N/A</v>
      </c>
      <c r="H41" t="e">
        <f t="shared" ca="1" si="5"/>
        <v>#N/A</v>
      </c>
    </row>
    <row r="42" spans="1:8" x14ac:dyDescent="0.2">
      <c r="A42" s="6">
        <v>40</v>
      </c>
      <c r="B42" t="e">
        <f>MATCH($A42,part!$A$1:$A$2001,0)</f>
        <v>#N/A</v>
      </c>
      <c r="C42" t="e">
        <f t="shared" ca="1" si="0"/>
        <v>#N/A</v>
      </c>
      <c r="D42" t="e">
        <f t="shared" ca="1" si="1"/>
        <v>#N/A</v>
      </c>
      <c r="E42" t="e">
        <f t="shared" ca="1" si="2"/>
        <v>#N/A</v>
      </c>
      <c r="F42" s="6" t="e">
        <f t="shared" ca="1" si="3"/>
        <v>#N/A</v>
      </c>
      <c r="G42" t="e">
        <f t="shared" ca="1" si="4"/>
        <v>#N/A</v>
      </c>
      <c r="H42" t="e">
        <f t="shared" ca="1" si="5"/>
        <v>#N/A</v>
      </c>
    </row>
    <row r="43" spans="1:8" x14ac:dyDescent="0.2">
      <c r="A43" s="6">
        <v>41</v>
      </c>
      <c r="B43" t="e">
        <f>MATCH($A43,part!$A$1:$A$2001,0)</f>
        <v>#N/A</v>
      </c>
      <c r="C43" t="e">
        <f t="shared" ca="1" si="0"/>
        <v>#N/A</v>
      </c>
      <c r="D43" t="e">
        <f t="shared" ca="1" si="1"/>
        <v>#N/A</v>
      </c>
      <c r="E43" t="e">
        <f t="shared" ca="1" si="2"/>
        <v>#N/A</v>
      </c>
      <c r="F43" s="6" t="e">
        <f t="shared" ca="1" si="3"/>
        <v>#N/A</v>
      </c>
      <c r="G43" t="e">
        <f t="shared" ca="1" si="4"/>
        <v>#N/A</v>
      </c>
      <c r="H43" t="e">
        <f t="shared" ca="1" si="5"/>
        <v>#N/A</v>
      </c>
    </row>
    <row r="44" spans="1:8" x14ac:dyDescent="0.2">
      <c r="A44" s="6">
        <v>42</v>
      </c>
      <c r="B44" t="e">
        <f>MATCH($A44,part!$A$1:$A$2001,0)</f>
        <v>#N/A</v>
      </c>
      <c r="C44" t="e">
        <f t="shared" ca="1" si="0"/>
        <v>#N/A</v>
      </c>
      <c r="D44" t="e">
        <f t="shared" ca="1" si="1"/>
        <v>#N/A</v>
      </c>
      <c r="E44" t="e">
        <f t="shared" ca="1" si="2"/>
        <v>#N/A</v>
      </c>
      <c r="F44" s="6" t="e">
        <f t="shared" ca="1" si="3"/>
        <v>#N/A</v>
      </c>
      <c r="G44" t="e">
        <f t="shared" ca="1" si="4"/>
        <v>#N/A</v>
      </c>
      <c r="H44" t="e">
        <f t="shared" ca="1" si="5"/>
        <v>#N/A</v>
      </c>
    </row>
    <row r="45" spans="1:8" x14ac:dyDescent="0.2">
      <c r="A45" s="6">
        <v>43</v>
      </c>
      <c r="B45" t="e">
        <f>MATCH($A45,part!$A$1:$A$2001,0)</f>
        <v>#N/A</v>
      </c>
      <c r="C45" t="e">
        <f t="shared" ca="1" si="0"/>
        <v>#N/A</v>
      </c>
      <c r="D45" t="e">
        <f t="shared" ca="1" si="1"/>
        <v>#N/A</v>
      </c>
      <c r="E45" t="e">
        <f t="shared" ca="1" si="2"/>
        <v>#N/A</v>
      </c>
      <c r="F45" s="6" t="e">
        <f t="shared" ca="1" si="3"/>
        <v>#N/A</v>
      </c>
      <c r="G45" t="e">
        <f t="shared" ca="1" si="4"/>
        <v>#N/A</v>
      </c>
      <c r="H45" t="e">
        <f t="shared" ca="1" si="5"/>
        <v>#N/A</v>
      </c>
    </row>
    <row r="46" spans="1:8" x14ac:dyDescent="0.2">
      <c r="A46" s="6">
        <v>44</v>
      </c>
      <c r="B46" t="e">
        <f>MATCH($A46,part!$A$1:$A$2001,0)</f>
        <v>#N/A</v>
      </c>
      <c r="C46" t="e">
        <f t="shared" ca="1" si="0"/>
        <v>#N/A</v>
      </c>
      <c r="D46" t="e">
        <f t="shared" ca="1" si="1"/>
        <v>#N/A</v>
      </c>
      <c r="E46" t="e">
        <f t="shared" ca="1" si="2"/>
        <v>#N/A</v>
      </c>
      <c r="F46" s="6" t="e">
        <f t="shared" ca="1" si="3"/>
        <v>#N/A</v>
      </c>
      <c r="G46" t="e">
        <f t="shared" ca="1" si="4"/>
        <v>#N/A</v>
      </c>
      <c r="H46" t="e">
        <f t="shared" ca="1" si="5"/>
        <v>#N/A</v>
      </c>
    </row>
    <row r="47" spans="1:8" x14ac:dyDescent="0.2">
      <c r="A47" s="6">
        <v>45</v>
      </c>
      <c r="B47" t="e">
        <f>MATCH($A47,part!$A$1:$A$2001,0)</f>
        <v>#N/A</v>
      </c>
      <c r="C47" t="e">
        <f t="shared" ca="1" si="0"/>
        <v>#N/A</v>
      </c>
      <c r="D47" t="e">
        <f t="shared" ca="1" si="1"/>
        <v>#N/A</v>
      </c>
      <c r="E47" t="e">
        <f t="shared" ca="1" si="2"/>
        <v>#N/A</v>
      </c>
      <c r="F47" s="6" t="e">
        <f t="shared" ca="1" si="3"/>
        <v>#N/A</v>
      </c>
      <c r="G47" t="e">
        <f t="shared" ca="1" si="4"/>
        <v>#N/A</v>
      </c>
      <c r="H47" t="e">
        <f t="shared" ca="1" si="5"/>
        <v>#N/A</v>
      </c>
    </row>
    <row r="48" spans="1:8" x14ac:dyDescent="0.2">
      <c r="A48" s="6">
        <v>46</v>
      </c>
      <c r="B48" t="e">
        <f>MATCH($A48,part!$A$1:$A$2001,0)</f>
        <v>#N/A</v>
      </c>
      <c r="C48" t="e">
        <f t="shared" ca="1" si="0"/>
        <v>#N/A</v>
      </c>
      <c r="D48" t="e">
        <f t="shared" ca="1" si="1"/>
        <v>#N/A</v>
      </c>
      <c r="E48" t="e">
        <f t="shared" ca="1" si="2"/>
        <v>#N/A</v>
      </c>
      <c r="F48" s="6" t="e">
        <f t="shared" ca="1" si="3"/>
        <v>#N/A</v>
      </c>
      <c r="G48" t="e">
        <f t="shared" ca="1" si="4"/>
        <v>#N/A</v>
      </c>
      <c r="H48" t="e">
        <f t="shared" ca="1" si="5"/>
        <v>#N/A</v>
      </c>
    </row>
    <row r="49" spans="1:8" x14ac:dyDescent="0.2">
      <c r="A49" s="6">
        <v>47</v>
      </c>
      <c r="B49" t="e">
        <f>MATCH($A49,part!$A$1:$A$2001,0)</f>
        <v>#N/A</v>
      </c>
      <c r="C49" t="e">
        <f t="shared" ca="1" si="0"/>
        <v>#N/A</v>
      </c>
      <c r="D49" t="e">
        <f t="shared" ca="1" si="1"/>
        <v>#N/A</v>
      </c>
      <c r="E49" t="e">
        <f t="shared" ca="1" si="2"/>
        <v>#N/A</v>
      </c>
      <c r="F49" s="6" t="e">
        <f t="shared" ca="1" si="3"/>
        <v>#N/A</v>
      </c>
      <c r="G49" t="e">
        <f t="shared" ca="1" si="4"/>
        <v>#N/A</v>
      </c>
      <c r="H49" t="e">
        <f t="shared" ca="1" si="5"/>
        <v>#N/A</v>
      </c>
    </row>
    <row r="50" spans="1:8" x14ac:dyDescent="0.2">
      <c r="A50" s="6">
        <v>48</v>
      </c>
      <c r="B50" t="e">
        <f>MATCH($A50,part!$A$1:$A$2001,0)</f>
        <v>#N/A</v>
      </c>
      <c r="C50" t="e">
        <f t="shared" ca="1" si="0"/>
        <v>#N/A</v>
      </c>
      <c r="D50" t="e">
        <f t="shared" ca="1" si="1"/>
        <v>#N/A</v>
      </c>
      <c r="E50" t="e">
        <f t="shared" ca="1" si="2"/>
        <v>#N/A</v>
      </c>
      <c r="F50" s="6" t="e">
        <f t="shared" ca="1" si="3"/>
        <v>#N/A</v>
      </c>
      <c r="G50" t="e">
        <f t="shared" ca="1" si="4"/>
        <v>#N/A</v>
      </c>
      <c r="H50" t="e">
        <f t="shared" ca="1" si="5"/>
        <v>#N/A</v>
      </c>
    </row>
    <row r="51" spans="1:8" x14ac:dyDescent="0.2">
      <c r="A51" s="6">
        <v>49</v>
      </c>
      <c r="B51" t="e">
        <f>MATCH($A51,part!$A$1:$A$2001,0)</f>
        <v>#N/A</v>
      </c>
      <c r="C51" t="e">
        <f t="shared" ca="1" si="0"/>
        <v>#N/A</v>
      </c>
      <c r="D51" t="e">
        <f t="shared" ca="1" si="1"/>
        <v>#N/A</v>
      </c>
      <c r="E51" t="e">
        <f t="shared" ca="1" si="2"/>
        <v>#N/A</v>
      </c>
      <c r="F51" s="6" t="e">
        <f t="shared" ca="1" si="3"/>
        <v>#N/A</v>
      </c>
      <c r="G51" t="e">
        <f t="shared" ca="1" si="4"/>
        <v>#N/A</v>
      </c>
      <c r="H51" t="e">
        <f t="shared" ca="1" si="5"/>
        <v>#N/A</v>
      </c>
    </row>
    <row r="52" spans="1:8" x14ac:dyDescent="0.2">
      <c r="A52" s="6">
        <v>50</v>
      </c>
      <c r="B52" t="e">
        <f>MATCH($A52,part!$A$1:$A$2001,0)</f>
        <v>#N/A</v>
      </c>
      <c r="C52" t="e">
        <f t="shared" ca="1" si="0"/>
        <v>#N/A</v>
      </c>
      <c r="D52" t="e">
        <f t="shared" ca="1" si="1"/>
        <v>#N/A</v>
      </c>
      <c r="E52" t="e">
        <f t="shared" ca="1" si="2"/>
        <v>#N/A</v>
      </c>
      <c r="F52" s="6" t="e">
        <f t="shared" ca="1" si="3"/>
        <v>#N/A</v>
      </c>
      <c r="G52" t="e">
        <f t="shared" ca="1" si="4"/>
        <v>#N/A</v>
      </c>
      <c r="H52" t="e">
        <f t="shared" ca="1" si="5"/>
        <v>#N/A</v>
      </c>
    </row>
    <row r="53" spans="1:8" x14ac:dyDescent="0.2">
      <c r="A53" s="6">
        <v>51</v>
      </c>
      <c r="B53" t="e">
        <f>MATCH($A53,part!$A$1:$A$2001,0)</f>
        <v>#N/A</v>
      </c>
      <c r="C53" t="e">
        <f t="shared" ca="1" si="0"/>
        <v>#N/A</v>
      </c>
      <c r="D53" t="e">
        <f t="shared" ca="1" si="1"/>
        <v>#N/A</v>
      </c>
      <c r="E53" t="e">
        <f t="shared" ca="1" si="2"/>
        <v>#N/A</v>
      </c>
      <c r="F53" s="6" t="e">
        <f t="shared" ca="1" si="3"/>
        <v>#N/A</v>
      </c>
      <c r="G53" t="e">
        <f t="shared" ca="1" si="4"/>
        <v>#N/A</v>
      </c>
      <c r="H53" t="e">
        <f t="shared" ca="1" si="5"/>
        <v>#N/A</v>
      </c>
    </row>
    <row r="54" spans="1:8" x14ac:dyDescent="0.2">
      <c r="A54" s="6">
        <v>52</v>
      </c>
      <c r="B54" t="e">
        <f>MATCH($A54,part!$A$1:$A$2001,0)</f>
        <v>#N/A</v>
      </c>
      <c r="C54" t="e">
        <f t="shared" ca="1" si="0"/>
        <v>#N/A</v>
      </c>
      <c r="D54" t="e">
        <f t="shared" ca="1" si="1"/>
        <v>#N/A</v>
      </c>
      <c r="E54" t="e">
        <f t="shared" ca="1" si="2"/>
        <v>#N/A</v>
      </c>
      <c r="F54" s="6" t="e">
        <f t="shared" ca="1" si="3"/>
        <v>#N/A</v>
      </c>
      <c r="G54" t="e">
        <f t="shared" ca="1" si="4"/>
        <v>#N/A</v>
      </c>
      <c r="H54" t="e">
        <f t="shared" ca="1" si="5"/>
        <v>#N/A</v>
      </c>
    </row>
    <row r="55" spans="1:8" x14ac:dyDescent="0.2">
      <c r="A55" s="6">
        <v>53</v>
      </c>
      <c r="B55" t="e">
        <f>MATCH($A55,part!$A$1:$A$2001,0)</f>
        <v>#N/A</v>
      </c>
      <c r="C55" t="e">
        <f t="shared" ca="1" si="0"/>
        <v>#N/A</v>
      </c>
      <c r="D55" t="e">
        <f t="shared" ca="1" si="1"/>
        <v>#N/A</v>
      </c>
      <c r="E55" t="e">
        <f t="shared" ca="1" si="2"/>
        <v>#N/A</v>
      </c>
      <c r="F55" s="6" t="e">
        <f t="shared" ca="1" si="3"/>
        <v>#N/A</v>
      </c>
      <c r="G55" t="e">
        <f t="shared" ca="1" si="4"/>
        <v>#N/A</v>
      </c>
      <c r="H55" t="e">
        <f t="shared" ca="1" si="5"/>
        <v>#N/A</v>
      </c>
    </row>
    <row r="56" spans="1:8" x14ac:dyDescent="0.2">
      <c r="A56" s="6">
        <v>54</v>
      </c>
      <c r="B56" t="e">
        <f>MATCH($A56,part!$A$1:$A$2001,0)</f>
        <v>#N/A</v>
      </c>
      <c r="C56" t="e">
        <f t="shared" ca="1" si="0"/>
        <v>#N/A</v>
      </c>
      <c r="D56" t="e">
        <f t="shared" ca="1" si="1"/>
        <v>#N/A</v>
      </c>
      <c r="E56" t="e">
        <f t="shared" ca="1" si="2"/>
        <v>#N/A</v>
      </c>
      <c r="F56" s="6" t="e">
        <f t="shared" ca="1" si="3"/>
        <v>#N/A</v>
      </c>
      <c r="G56" t="e">
        <f t="shared" ca="1" si="4"/>
        <v>#N/A</v>
      </c>
      <c r="H56" t="e">
        <f t="shared" ca="1" si="5"/>
        <v>#N/A</v>
      </c>
    </row>
    <row r="57" spans="1:8" x14ac:dyDescent="0.2">
      <c r="A57" s="6">
        <v>55</v>
      </c>
      <c r="B57" t="e">
        <f>MATCH($A57,part!$A$1:$A$2001,0)</f>
        <v>#N/A</v>
      </c>
      <c r="C57" t="e">
        <f t="shared" ca="1" si="0"/>
        <v>#N/A</v>
      </c>
      <c r="D57" t="e">
        <f t="shared" ca="1" si="1"/>
        <v>#N/A</v>
      </c>
      <c r="E57" t="e">
        <f t="shared" ca="1" si="2"/>
        <v>#N/A</v>
      </c>
      <c r="F57" s="6" t="e">
        <f t="shared" ca="1" si="3"/>
        <v>#N/A</v>
      </c>
      <c r="G57" t="e">
        <f t="shared" ca="1" si="4"/>
        <v>#N/A</v>
      </c>
      <c r="H57" t="e">
        <f t="shared" ca="1" si="5"/>
        <v>#N/A</v>
      </c>
    </row>
    <row r="58" spans="1:8" x14ac:dyDescent="0.2">
      <c r="A58" s="6">
        <v>56</v>
      </c>
      <c r="B58" t="e">
        <f>MATCH($A58,part!$A$1:$A$2001,0)</f>
        <v>#N/A</v>
      </c>
      <c r="C58" t="e">
        <f t="shared" ca="1" si="0"/>
        <v>#N/A</v>
      </c>
      <c r="D58" t="e">
        <f t="shared" ca="1" si="1"/>
        <v>#N/A</v>
      </c>
      <c r="E58" t="e">
        <f t="shared" ca="1" si="2"/>
        <v>#N/A</v>
      </c>
      <c r="F58" s="6" t="e">
        <f t="shared" ca="1" si="3"/>
        <v>#N/A</v>
      </c>
      <c r="G58" t="e">
        <f t="shared" ca="1" si="4"/>
        <v>#N/A</v>
      </c>
      <c r="H58" t="e">
        <f t="shared" ca="1" si="5"/>
        <v>#N/A</v>
      </c>
    </row>
    <row r="59" spans="1:8" x14ac:dyDescent="0.2">
      <c r="A59" s="6">
        <v>57</v>
      </c>
      <c r="B59" t="e">
        <f>MATCH($A59,part!$A$1:$A$2001,0)</f>
        <v>#N/A</v>
      </c>
      <c r="C59" t="e">
        <f t="shared" ca="1" si="0"/>
        <v>#N/A</v>
      </c>
      <c r="D59" t="e">
        <f t="shared" ca="1" si="1"/>
        <v>#N/A</v>
      </c>
      <c r="E59" t="e">
        <f t="shared" ca="1" si="2"/>
        <v>#N/A</v>
      </c>
      <c r="F59" s="6" t="e">
        <f t="shared" ca="1" si="3"/>
        <v>#N/A</v>
      </c>
      <c r="G59" t="e">
        <f t="shared" ca="1" si="4"/>
        <v>#N/A</v>
      </c>
      <c r="H59" t="e">
        <f t="shared" ca="1" si="5"/>
        <v>#N/A</v>
      </c>
    </row>
    <row r="60" spans="1:8" x14ac:dyDescent="0.2">
      <c r="A60" s="6">
        <v>58</v>
      </c>
      <c r="B60" t="e">
        <f>MATCH($A60,part!$A$1:$A$2001,0)</f>
        <v>#N/A</v>
      </c>
      <c r="C60" t="e">
        <f t="shared" ca="1" si="0"/>
        <v>#N/A</v>
      </c>
      <c r="D60" t="e">
        <f t="shared" ca="1" si="1"/>
        <v>#N/A</v>
      </c>
      <c r="E60" t="e">
        <f t="shared" ca="1" si="2"/>
        <v>#N/A</v>
      </c>
      <c r="F60" s="6" t="e">
        <f t="shared" ca="1" si="3"/>
        <v>#N/A</v>
      </c>
      <c r="G60" t="e">
        <f t="shared" ca="1" si="4"/>
        <v>#N/A</v>
      </c>
      <c r="H60" t="e">
        <f t="shared" ca="1" si="5"/>
        <v>#N/A</v>
      </c>
    </row>
    <row r="61" spans="1:8" x14ac:dyDescent="0.2">
      <c r="A61" s="6">
        <v>59</v>
      </c>
      <c r="B61" t="e">
        <f>MATCH($A61,part!$A$1:$A$2001,0)</f>
        <v>#N/A</v>
      </c>
      <c r="C61" t="e">
        <f t="shared" ca="1" si="0"/>
        <v>#N/A</v>
      </c>
      <c r="D61" t="e">
        <f t="shared" ca="1" si="1"/>
        <v>#N/A</v>
      </c>
      <c r="E61" t="e">
        <f t="shared" ca="1" si="2"/>
        <v>#N/A</v>
      </c>
      <c r="F61" s="6" t="e">
        <f t="shared" ca="1" si="3"/>
        <v>#N/A</v>
      </c>
      <c r="G61" t="e">
        <f t="shared" ca="1" si="4"/>
        <v>#N/A</v>
      </c>
      <c r="H61" t="e">
        <f t="shared" ca="1" si="5"/>
        <v>#N/A</v>
      </c>
    </row>
    <row r="62" spans="1:8" x14ac:dyDescent="0.2">
      <c r="A62" s="6">
        <v>60</v>
      </c>
      <c r="B62" t="e">
        <f>MATCH($A62,part!$A$1:$A$2001,0)</f>
        <v>#N/A</v>
      </c>
      <c r="C62" t="e">
        <f t="shared" ca="1" si="0"/>
        <v>#N/A</v>
      </c>
      <c r="D62" t="e">
        <f t="shared" ca="1" si="1"/>
        <v>#N/A</v>
      </c>
      <c r="E62" t="e">
        <f t="shared" ca="1" si="2"/>
        <v>#N/A</v>
      </c>
      <c r="F62" s="6" t="e">
        <f t="shared" ca="1" si="3"/>
        <v>#N/A</v>
      </c>
      <c r="G62" t="e">
        <f t="shared" ca="1" si="4"/>
        <v>#N/A</v>
      </c>
      <c r="H62" t="e">
        <f t="shared" ca="1" si="5"/>
        <v>#N/A</v>
      </c>
    </row>
    <row r="63" spans="1:8" x14ac:dyDescent="0.2">
      <c r="A63" s="6">
        <v>61</v>
      </c>
      <c r="B63" t="e">
        <f>MATCH($A63,part!$A$1:$A$2001,0)</f>
        <v>#N/A</v>
      </c>
      <c r="C63" t="e">
        <f t="shared" ca="1" si="0"/>
        <v>#N/A</v>
      </c>
      <c r="D63" t="e">
        <f t="shared" ca="1" si="1"/>
        <v>#N/A</v>
      </c>
      <c r="E63" t="e">
        <f t="shared" ca="1" si="2"/>
        <v>#N/A</v>
      </c>
      <c r="F63" s="6" t="e">
        <f t="shared" ca="1" si="3"/>
        <v>#N/A</v>
      </c>
      <c r="G63" t="e">
        <f t="shared" ca="1" si="4"/>
        <v>#N/A</v>
      </c>
      <c r="H63" t="e">
        <f t="shared" ca="1" si="5"/>
        <v>#N/A</v>
      </c>
    </row>
    <row r="64" spans="1:8" x14ac:dyDescent="0.2">
      <c r="A64" s="6">
        <v>62</v>
      </c>
      <c r="B64" t="e">
        <f>MATCH($A64,part!$A$1:$A$2001,0)</f>
        <v>#N/A</v>
      </c>
      <c r="C64" t="e">
        <f t="shared" ca="1" si="0"/>
        <v>#N/A</v>
      </c>
      <c r="D64" t="e">
        <f t="shared" ca="1" si="1"/>
        <v>#N/A</v>
      </c>
      <c r="E64" t="e">
        <f t="shared" ca="1" si="2"/>
        <v>#N/A</v>
      </c>
      <c r="F64" s="6" t="e">
        <f t="shared" ca="1" si="3"/>
        <v>#N/A</v>
      </c>
      <c r="G64" t="e">
        <f t="shared" ca="1" si="4"/>
        <v>#N/A</v>
      </c>
      <c r="H64" t="e">
        <f t="shared" ca="1" si="5"/>
        <v>#N/A</v>
      </c>
    </row>
    <row r="65" spans="1:8" x14ac:dyDescent="0.2">
      <c r="A65" s="6">
        <v>63</v>
      </c>
      <c r="B65" t="e">
        <f>MATCH($A65,part!$A$1:$A$2001,0)</f>
        <v>#N/A</v>
      </c>
      <c r="C65" t="e">
        <f t="shared" ca="1" si="0"/>
        <v>#N/A</v>
      </c>
      <c r="D65" t="e">
        <f t="shared" ca="1" si="1"/>
        <v>#N/A</v>
      </c>
      <c r="E65" t="e">
        <f t="shared" ca="1" si="2"/>
        <v>#N/A</v>
      </c>
      <c r="F65" s="6" t="e">
        <f t="shared" ca="1" si="3"/>
        <v>#N/A</v>
      </c>
      <c r="G65" t="e">
        <f t="shared" ca="1" si="4"/>
        <v>#N/A</v>
      </c>
      <c r="H65" t="e">
        <f t="shared" ca="1" si="5"/>
        <v>#N/A</v>
      </c>
    </row>
    <row r="66" spans="1:8" x14ac:dyDescent="0.2">
      <c r="A66" s="6">
        <v>64</v>
      </c>
      <c r="B66" t="e">
        <f>MATCH($A66,part!$A$1:$A$2001,0)</f>
        <v>#N/A</v>
      </c>
      <c r="C66" t="e">
        <f t="shared" ref="C66:C129" ca="1" si="6">INDIRECT(ADDRESS($B66,2,,,"part"))</f>
        <v>#N/A</v>
      </c>
      <c r="D66" t="e">
        <f t="shared" ref="D66:D129" ca="1" si="7">INDIRECT(ADDRESS($B66,3,,,"part"))</f>
        <v>#N/A</v>
      </c>
      <c r="E66" t="e">
        <f t="shared" ref="E66:E129" ca="1" si="8">INDIRECT(ADDRESS($D66+1,2,,,"[namespace.xlsx]part type"))</f>
        <v>#N/A</v>
      </c>
      <c r="F66" s="6" t="e">
        <f t="shared" ref="F66:F129" ca="1" si="9">INDIRECT(ADDRESS($B66,4,,,"part"))</f>
        <v>#N/A</v>
      </c>
      <c r="G66" t="e">
        <f t="shared" ref="G66:G129" ca="1" si="10">IF($F66&gt;=0,INDIRECT(ADDRESS($F66+2,2,,,"comp")),-1)</f>
        <v>#N/A</v>
      </c>
      <c r="H66" t="e">
        <f t="shared" ref="H66:H129" ca="1" si="11">INDIRECT(ADDRESS($G66+2,2,,,"[namespace.xlsx]comp type"))</f>
        <v>#N/A</v>
      </c>
    </row>
    <row r="67" spans="1:8" x14ac:dyDescent="0.2">
      <c r="A67" s="6">
        <v>65</v>
      </c>
      <c r="B67" t="e">
        <f>MATCH($A67,part!$A$1:$A$2001,0)</f>
        <v>#N/A</v>
      </c>
      <c r="C67" t="e">
        <f t="shared" ca="1" si="6"/>
        <v>#N/A</v>
      </c>
      <c r="D67" t="e">
        <f t="shared" ca="1" si="7"/>
        <v>#N/A</v>
      </c>
      <c r="E67" t="e">
        <f t="shared" ca="1" si="8"/>
        <v>#N/A</v>
      </c>
      <c r="F67" s="6" t="e">
        <f t="shared" ca="1" si="9"/>
        <v>#N/A</v>
      </c>
      <c r="G67" t="e">
        <f t="shared" ca="1" si="10"/>
        <v>#N/A</v>
      </c>
      <c r="H67" t="e">
        <f t="shared" ca="1" si="11"/>
        <v>#N/A</v>
      </c>
    </row>
    <row r="68" spans="1:8" x14ac:dyDescent="0.2">
      <c r="A68" s="6">
        <v>66</v>
      </c>
      <c r="B68" t="e">
        <f>MATCH($A68,part!$A$1:$A$2001,0)</f>
        <v>#N/A</v>
      </c>
      <c r="C68" t="e">
        <f t="shared" ca="1" si="6"/>
        <v>#N/A</v>
      </c>
      <c r="D68" t="e">
        <f t="shared" ca="1" si="7"/>
        <v>#N/A</v>
      </c>
      <c r="E68" t="e">
        <f t="shared" ca="1" si="8"/>
        <v>#N/A</v>
      </c>
      <c r="F68" s="6" t="e">
        <f t="shared" ca="1" si="9"/>
        <v>#N/A</v>
      </c>
      <c r="G68" t="e">
        <f t="shared" ca="1" si="10"/>
        <v>#N/A</v>
      </c>
      <c r="H68" t="e">
        <f t="shared" ca="1" si="11"/>
        <v>#N/A</v>
      </c>
    </row>
    <row r="69" spans="1:8" x14ac:dyDescent="0.2">
      <c r="A69" s="6">
        <v>67</v>
      </c>
      <c r="B69" t="e">
        <f>MATCH($A69,part!$A$1:$A$2001,0)</f>
        <v>#N/A</v>
      </c>
      <c r="C69" t="e">
        <f t="shared" ca="1" si="6"/>
        <v>#N/A</v>
      </c>
      <c r="D69" t="e">
        <f t="shared" ca="1" si="7"/>
        <v>#N/A</v>
      </c>
      <c r="E69" t="e">
        <f t="shared" ca="1" si="8"/>
        <v>#N/A</v>
      </c>
      <c r="F69" s="6" t="e">
        <f t="shared" ca="1" si="9"/>
        <v>#N/A</v>
      </c>
      <c r="G69" t="e">
        <f t="shared" ca="1" si="10"/>
        <v>#N/A</v>
      </c>
      <c r="H69" t="e">
        <f t="shared" ca="1" si="11"/>
        <v>#N/A</v>
      </c>
    </row>
    <row r="70" spans="1:8" x14ac:dyDescent="0.2">
      <c r="A70" s="6">
        <v>68</v>
      </c>
      <c r="B70" t="e">
        <f>MATCH($A70,part!$A$1:$A$2001,0)</f>
        <v>#N/A</v>
      </c>
      <c r="C70" t="e">
        <f t="shared" ca="1" si="6"/>
        <v>#N/A</v>
      </c>
      <c r="D70" t="e">
        <f t="shared" ca="1" si="7"/>
        <v>#N/A</v>
      </c>
      <c r="E70" t="e">
        <f t="shared" ca="1" si="8"/>
        <v>#N/A</v>
      </c>
      <c r="F70" s="6" t="e">
        <f t="shared" ca="1" si="9"/>
        <v>#N/A</v>
      </c>
      <c r="G70" t="e">
        <f t="shared" ca="1" si="10"/>
        <v>#N/A</v>
      </c>
      <c r="H70" t="e">
        <f t="shared" ca="1" si="11"/>
        <v>#N/A</v>
      </c>
    </row>
    <row r="71" spans="1:8" x14ac:dyDescent="0.2">
      <c r="A71" s="6">
        <v>69</v>
      </c>
      <c r="B71" t="e">
        <f>MATCH($A71,part!$A$1:$A$2001,0)</f>
        <v>#N/A</v>
      </c>
      <c r="C71" t="e">
        <f t="shared" ca="1" si="6"/>
        <v>#N/A</v>
      </c>
      <c r="D71" t="e">
        <f t="shared" ca="1" si="7"/>
        <v>#N/A</v>
      </c>
      <c r="E71" t="e">
        <f t="shared" ca="1" si="8"/>
        <v>#N/A</v>
      </c>
      <c r="F71" s="6" t="e">
        <f t="shared" ca="1" si="9"/>
        <v>#N/A</v>
      </c>
      <c r="G71" t="e">
        <f t="shared" ca="1" si="10"/>
        <v>#N/A</v>
      </c>
      <c r="H71" t="e">
        <f t="shared" ca="1" si="11"/>
        <v>#N/A</v>
      </c>
    </row>
    <row r="72" spans="1:8" x14ac:dyDescent="0.2">
      <c r="A72" s="6">
        <v>70</v>
      </c>
      <c r="B72" t="e">
        <f>MATCH($A72,part!$A$1:$A$2001,0)</f>
        <v>#N/A</v>
      </c>
      <c r="C72" t="e">
        <f t="shared" ca="1" si="6"/>
        <v>#N/A</v>
      </c>
      <c r="D72" t="e">
        <f t="shared" ca="1" si="7"/>
        <v>#N/A</v>
      </c>
      <c r="E72" t="e">
        <f t="shared" ca="1" si="8"/>
        <v>#N/A</v>
      </c>
      <c r="F72" s="6" t="e">
        <f t="shared" ca="1" si="9"/>
        <v>#N/A</v>
      </c>
      <c r="G72" t="e">
        <f t="shared" ca="1" si="10"/>
        <v>#N/A</v>
      </c>
      <c r="H72" t="e">
        <f t="shared" ca="1" si="11"/>
        <v>#N/A</v>
      </c>
    </row>
    <row r="73" spans="1:8" x14ac:dyDescent="0.2">
      <c r="A73" s="6">
        <v>71</v>
      </c>
      <c r="B73" t="e">
        <f>MATCH($A73,part!$A$1:$A$2001,0)</f>
        <v>#N/A</v>
      </c>
      <c r="C73" t="e">
        <f t="shared" ca="1" si="6"/>
        <v>#N/A</v>
      </c>
      <c r="D73" t="e">
        <f t="shared" ca="1" si="7"/>
        <v>#N/A</v>
      </c>
      <c r="E73" t="e">
        <f t="shared" ca="1" si="8"/>
        <v>#N/A</v>
      </c>
      <c r="F73" s="6" t="e">
        <f t="shared" ca="1" si="9"/>
        <v>#N/A</v>
      </c>
      <c r="G73" t="e">
        <f t="shared" ca="1" si="10"/>
        <v>#N/A</v>
      </c>
      <c r="H73" t="e">
        <f t="shared" ca="1" si="11"/>
        <v>#N/A</v>
      </c>
    </row>
    <row r="74" spans="1:8" x14ac:dyDescent="0.2">
      <c r="A74" s="6">
        <v>72</v>
      </c>
      <c r="B74" t="e">
        <f>MATCH($A74,part!$A$1:$A$2001,0)</f>
        <v>#N/A</v>
      </c>
      <c r="C74" t="e">
        <f t="shared" ca="1" si="6"/>
        <v>#N/A</v>
      </c>
      <c r="D74" t="e">
        <f t="shared" ca="1" si="7"/>
        <v>#N/A</v>
      </c>
      <c r="E74" t="e">
        <f t="shared" ca="1" si="8"/>
        <v>#N/A</v>
      </c>
      <c r="F74" s="6" t="e">
        <f t="shared" ca="1" si="9"/>
        <v>#N/A</v>
      </c>
      <c r="G74" t="e">
        <f t="shared" ca="1" si="10"/>
        <v>#N/A</v>
      </c>
      <c r="H74" t="e">
        <f t="shared" ca="1" si="11"/>
        <v>#N/A</v>
      </c>
    </row>
    <row r="75" spans="1:8" x14ac:dyDescent="0.2">
      <c r="A75" s="6">
        <v>73</v>
      </c>
      <c r="B75" t="e">
        <f>MATCH($A75,part!$A$1:$A$2001,0)</f>
        <v>#N/A</v>
      </c>
      <c r="C75" t="e">
        <f t="shared" ca="1" si="6"/>
        <v>#N/A</v>
      </c>
      <c r="D75" t="e">
        <f t="shared" ca="1" si="7"/>
        <v>#N/A</v>
      </c>
      <c r="E75" t="e">
        <f t="shared" ca="1" si="8"/>
        <v>#N/A</v>
      </c>
      <c r="F75" s="6" t="e">
        <f t="shared" ca="1" si="9"/>
        <v>#N/A</v>
      </c>
      <c r="G75" t="e">
        <f t="shared" ca="1" si="10"/>
        <v>#N/A</v>
      </c>
      <c r="H75" t="e">
        <f t="shared" ca="1" si="11"/>
        <v>#N/A</v>
      </c>
    </row>
    <row r="76" spans="1:8" x14ac:dyDescent="0.2">
      <c r="A76" s="6">
        <v>74</v>
      </c>
      <c r="B76" t="e">
        <f>MATCH($A76,part!$A$1:$A$2001,0)</f>
        <v>#N/A</v>
      </c>
      <c r="C76" t="e">
        <f t="shared" ca="1" si="6"/>
        <v>#N/A</v>
      </c>
      <c r="D76" t="e">
        <f t="shared" ca="1" si="7"/>
        <v>#N/A</v>
      </c>
      <c r="E76" t="e">
        <f t="shared" ca="1" si="8"/>
        <v>#N/A</v>
      </c>
      <c r="F76" s="6" t="e">
        <f t="shared" ca="1" si="9"/>
        <v>#N/A</v>
      </c>
      <c r="G76" t="e">
        <f t="shared" ca="1" si="10"/>
        <v>#N/A</v>
      </c>
      <c r="H76" t="e">
        <f t="shared" ca="1" si="11"/>
        <v>#N/A</v>
      </c>
    </row>
    <row r="77" spans="1:8" x14ac:dyDescent="0.2">
      <c r="A77" s="6">
        <v>75</v>
      </c>
      <c r="B77" t="e">
        <f>MATCH($A77,part!$A$1:$A$2001,0)</f>
        <v>#N/A</v>
      </c>
      <c r="C77" t="e">
        <f t="shared" ca="1" si="6"/>
        <v>#N/A</v>
      </c>
      <c r="D77" t="e">
        <f t="shared" ca="1" si="7"/>
        <v>#N/A</v>
      </c>
      <c r="E77" t="e">
        <f t="shared" ca="1" si="8"/>
        <v>#N/A</v>
      </c>
      <c r="F77" s="6" t="e">
        <f t="shared" ca="1" si="9"/>
        <v>#N/A</v>
      </c>
      <c r="G77" t="e">
        <f t="shared" ca="1" si="10"/>
        <v>#N/A</v>
      </c>
      <c r="H77" t="e">
        <f t="shared" ca="1" si="11"/>
        <v>#N/A</v>
      </c>
    </row>
    <row r="78" spans="1:8" x14ac:dyDescent="0.2">
      <c r="A78" s="6">
        <v>76</v>
      </c>
      <c r="B78" t="e">
        <f>MATCH($A78,part!$A$1:$A$2001,0)</f>
        <v>#N/A</v>
      </c>
      <c r="C78" t="e">
        <f t="shared" ca="1" si="6"/>
        <v>#N/A</v>
      </c>
      <c r="D78" t="e">
        <f t="shared" ca="1" si="7"/>
        <v>#N/A</v>
      </c>
      <c r="E78" t="e">
        <f t="shared" ca="1" si="8"/>
        <v>#N/A</v>
      </c>
      <c r="F78" s="6" t="e">
        <f t="shared" ca="1" si="9"/>
        <v>#N/A</v>
      </c>
      <c r="G78" t="e">
        <f t="shared" ca="1" si="10"/>
        <v>#N/A</v>
      </c>
      <c r="H78" t="e">
        <f t="shared" ca="1" si="11"/>
        <v>#N/A</v>
      </c>
    </row>
    <row r="79" spans="1:8" x14ac:dyDescent="0.2">
      <c r="A79" s="6">
        <v>77</v>
      </c>
      <c r="B79" t="e">
        <f>MATCH($A79,part!$A$1:$A$2001,0)</f>
        <v>#N/A</v>
      </c>
      <c r="C79" t="e">
        <f t="shared" ca="1" si="6"/>
        <v>#N/A</v>
      </c>
      <c r="D79" t="e">
        <f t="shared" ca="1" si="7"/>
        <v>#N/A</v>
      </c>
      <c r="E79" t="e">
        <f t="shared" ca="1" si="8"/>
        <v>#N/A</v>
      </c>
      <c r="F79" s="6" t="e">
        <f t="shared" ca="1" si="9"/>
        <v>#N/A</v>
      </c>
      <c r="G79" t="e">
        <f t="shared" ca="1" si="10"/>
        <v>#N/A</v>
      </c>
      <c r="H79" t="e">
        <f t="shared" ca="1" si="11"/>
        <v>#N/A</v>
      </c>
    </row>
    <row r="80" spans="1:8" x14ac:dyDescent="0.2">
      <c r="A80" s="6">
        <v>78</v>
      </c>
      <c r="B80" t="e">
        <f>MATCH($A80,part!$A$1:$A$2001,0)</f>
        <v>#N/A</v>
      </c>
      <c r="C80" t="e">
        <f t="shared" ca="1" si="6"/>
        <v>#N/A</v>
      </c>
      <c r="D80" t="e">
        <f t="shared" ca="1" si="7"/>
        <v>#N/A</v>
      </c>
      <c r="E80" t="e">
        <f t="shared" ca="1" si="8"/>
        <v>#N/A</v>
      </c>
      <c r="F80" s="6" t="e">
        <f t="shared" ca="1" si="9"/>
        <v>#N/A</v>
      </c>
      <c r="G80" t="e">
        <f t="shared" ca="1" si="10"/>
        <v>#N/A</v>
      </c>
      <c r="H80" t="e">
        <f t="shared" ca="1" si="11"/>
        <v>#N/A</v>
      </c>
    </row>
    <row r="81" spans="1:8" x14ac:dyDescent="0.2">
      <c r="A81" s="6">
        <v>79</v>
      </c>
      <c r="B81" t="e">
        <f>MATCH($A81,part!$A$1:$A$2001,0)</f>
        <v>#N/A</v>
      </c>
      <c r="C81" t="e">
        <f t="shared" ca="1" si="6"/>
        <v>#N/A</v>
      </c>
      <c r="D81" t="e">
        <f t="shared" ca="1" si="7"/>
        <v>#N/A</v>
      </c>
      <c r="E81" t="e">
        <f t="shared" ca="1" si="8"/>
        <v>#N/A</v>
      </c>
      <c r="F81" s="6" t="e">
        <f t="shared" ca="1" si="9"/>
        <v>#N/A</v>
      </c>
      <c r="G81" t="e">
        <f t="shared" ca="1" si="10"/>
        <v>#N/A</v>
      </c>
      <c r="H81" t="e">
        <f t="shared" ca="1" si="11"/>
        <v>#N/A</v>
      </c>
    </row>
    <row r="82" spans="1:8" x14ac:dyDescent="0.2">
      <c r="A82" s="6">
        <v>80</v>
      </c>
      <c r="B82" t="e">
        <f>MATCH($A82,part!$A$1:$A$2001,0)</f>
        <v>#N/A</v>
      </c>
      <c r="C82" t="e">
        <f t="shared" ca="1" si="6"/>
        <v>#N/A</v>
      </c>
      <c r="D82" t="e">
        <f t="shared" ca="1" si="7"/>
        <v>#N/A</v>
      </c>
      <c r="E82" t="e">
        <f t="shared" ca="1" si="8"/>
        <v>#N/A</v>
      </c>
      <c r="F82" s="6" t="e">
        <f t="shared" ca="1" si="9"/>
        <v>#N/A</v>
      </c>
      <c r="G82" t="e">
        <f t="shared" ca="1" si="10"/>
        <v>#N/A</v>
      </c>
      <c r="H82" t="e">
        <f t="shared" ca="1" si="11"/>
        <v>#N/A</v>
      </c>
    </row>
    <row r="83" spans="1:8" x14ac:dyDescent="0.2">
      <c r="A83" s="6">
        <v>81</v>
      </c>
      <c r="B83" t="e">
        <f>MATCH($A83,part!$A$1:$A$2001,0)</f>
        <v>#N/A</v>
      </c>
      <c r="C83" t="e">
        <f t="shared" ca="1" si="6"/>
        <v>#N/A</v>
      </c>
      <c r="D83" t="e">
        <f t="shared" ca="1" si="7"/>
        <v>#N/A</v>
      </c>
      <c r="E83" t="e">
        <f t="shared" ca="1" si="8"/>
        <v>#N/A</v>
      </c>
      <c r="F83" s="6" t="e">
        <f t="shared" ca="1" si="9"/>
        <v>#N/A</v>
      </c>
      <c r="G83" t="e">
        <f t="shared" ca="1" si="10"/>
        <v>#N/A</v>
      </c>
      <c r="H83" t="e">
        <f t="shared" ca="1" si="11"/>
        <v>#N/A</v>
      </c>
    </row>
    <row r="84" spans="1:8" x14ac:dyDescent="0.2">
      <c r="A84" s="6">
        <v>82</v>
      </c>
      <c r="B84" t="e">
        <f>MATCH($A84,part!$A$1:$A$2001,0)</f>
        <v>#N/A</v>
      </c>
      <c r="C84" t="e">
        <f t="shared" ca="1" si="6"/>
        <v>#N/A</v>
      </c>
      <c r="D84" t="e">
        <f t="shared" ca="1" si="7"/>
        <v>#N/A</v>
      </c>
      <c r="E84" t="e">
        <f t="shared" ca="1" si="8"/>
        <v>#N/A</v>
      </c>
      <c r="F84" s="6" t="e">
        <f t="shared" ca="1" si="9"/>
        <v>#N/A</v>
      </c>
      <c r="G84" t="e">
        <f t="shared" ca="1" si="10"/>
        <v>#N/A</v>
      </c>
      <c r="H84" t="e">
        <f t="shared" ca="1" si="11"/>
        <v>#N/A</v>
      </c>
    </row>
    <row r="85" spans="1:8" x14ac:dyDescent="0.2">
      <c r="A85" s="6">
        <v>83</v>
      </c>
      <c r="B85" t="e">
        <f>MATCH($A85,part!$A$1:$A$2001,0)</f>
        <v>#N/A</v>
      </c>
      <c r="C85" t="e">
        <f t="shared" ca="1" si="6"/>
        <v>#N/A</v>
      </c>
      <c r="D85" t="e">
        <f t="shared" ca="1" si="7"/>
        <v>#N/A</v>
      </c>
      <c r="E85" t="e">
        <f t="shared" ca="1" si="8"/>
        <v>#N/A</v>
      </c>
      <c r="F85" s="6" t="e">
        <f t="shared" ca="1" si="9"/>
        <v>#N/A</v>
      </c>
      <c r="G85" t="e">
        <f t="shared" ca="1" si="10"/>
        <v>#N/A</v>
      </c>
      <c r="H85" t="e">
        <f t="shared" ca="1" si="11"/>
        <v>#N/A</v>
      </c>
    </row>
    <row r="86" spans="1:8" x14ac:dyDescent="0.2">
      <c r="A86" s="6">
        <v>84</v>
      </c>
      <c r="B86" t="e">
        <f>MATCH($A86,part!$A$1:$A$2001,0)</f>
        <v>#N/A</v>
      </c>
      <c r="C86" t="e">
        <f t="shared" ca="1" si="6"/>
        <v>#N/A</v>
      </c>
      <c r="D86" t="e">
        <f t="shared" ca="1" si="7"/>
        <v>#N/A</v>
      </c>
      <c r="E86" t="e">
        <f t="shared" ca="1" si="8"/>
        <v>#N/A</v>
      </c>
      <c r="F86" s="6" t="e">
        <f t="shared" ca="1" si="9"/>
        <v>#N/A</v>
      </c>
      <c r="G86" t="e">
        <f t="shared" ca="1" si="10"/>
        <v>#N/A</v>
      </c>
      <c r="H86" t="e">
        <f t="shared" ca="1" si="11"/>
        <v>#N/A</v>
      </c>
    </row>
    <row r="87" spans="1:8" x14ac:dyDescent="0.2">
      <c r="A87" s="6">
        <v>85</v>
      </c>
      <c r="B87" t="e">
        <f>MATCH($A87,part!$A$1:$A$2001,0)</f>
        <v>#N/A</v>
      </c>
      <c r="C87" t="e">
        <f t="shared" ca="1" si="6"/>
        <v>#N/A</v>
      </c>
      <c r="D87" t="e">
        <f t="shared" ca="1" si="7"/>
        <v>#N/A</v>
      </c>
      <c r="E87" t="e">
        <f t="shared" ca="1" si="8"/>
        <v>#N/A</v>
      </c>
      <c r="F87" s="6" t="e">
        <f t="shared" ca="1" si="9"/>
        <v>#N/A</v>
      </c>
      <c r="G87" t="e">
        <f t="shared" ca="1" si="10"/>
        <v>#N/A</v>
      </c>
      <c r="H87" t="e">
        <f t="shared" ca="1" si="11"/>
        <v>#N/A</v>
      </c>
    </row>
    <row r="88" spans="1:8" x14ac:dyDescent="0.2">
      <c r="A88" s="6">
        <v>86</v>
      </c>
      <c r="B88" t="e">
        <f>MATCH($A88,part!$A$1:$A$2001,0)</f>
        <v>#N/A</v>
      </c>
      <c r="C88" t="e">
        <f t="shared" ca="1" si="6"/>
        <v>#N/A</v>
      </c>
      <c r="D88" t="e">
        <f t="shared" ca="1" si="7"/>
        <v>#N/A</v>
      </c>
      <c r="E88" t="e">
        <f t="shared" ca="1" si="8"/>
        <v>#N/A</v>
      </c>
      <c r="F88" s="6" t="e">
        <f t="shared" ca="1" si="9"/>
        <v>#N/A</v>
      </c>
      <c r="G88" t="e">
        <f t="shared" ca="1" si="10"/>
        <v>#N/A</v>
      </c>
      <c r="H88" t="e">
        <f t="shared" ca="1" si="11"/>
        <v>#N/A</v>
      </c>
    </row>
    <row r="89" spans="1:8" x14ac:dyDescent="0.2">
      <c r="A89" s="6">
        <v>87</v>
      </c>
      <c r="B89" t="e">
        <f>MATCH($A89,part!$A$1:$A$2001,0)</f>
        <v>#N/A</v>
      </c>
      <c r="C89" t="e">
        <f t="shared" ca="1" si="6"/>
        <v>#N/A</v>
      </c>
      <c r="D89" t="e">
        <f t="shared" ca="1" si="7"/>
        <v>#N/A</v>
      </c>
      <c r="E89" t="e">
        <f t="shared" ca="1" si="8"/>
        <v>#N/A</v>
      </c>
      <c r="F89" s="6" t="e">
        <f t="shared" ca="1" si="9"/>
        <v>#N/A</v>
      </c>
      <c r="G89" t="e">
        <f t="shared" ca="1" si="10"/>
        <v>#N/A</v>
      </c>
      <c r="H89" t="e">
        <f t="shared" ca="1" si="11"/>
        <v>#N/A</v>
      </c>
    </row>
    <row r="90" spans="1:8" x14ac:dyDescent="0.2">
      <c r="A90" s="6">
        <v>88</v>
      </c>
      <c r="B90" t="e">
        <f>MATCH($A90,part!$A$1:$A$2001,0)</f>
        <v>#N/A</v>
      </c>
      <c r="C90" t="e">
        <f t="shared" ca="1" si="6"/>
        <v>#N/A</v>
      </c>
      <c r="D90" t="e">
        <f t="shared" ca="1" si="7"/>
        <v>#N/A</v>
      </c>
      <c r="E90" t="e">
        <f t="shared" ca="1" si="8"/>
        <v>#N/A</v>
      </c>
      <c r="F90" s="6" t="e">
        <f t="shared" ca="1" si="9"/>
        <v>#N/A</v>
      </c>
      <c r="G90" t="e">
        <f t="shared" ca="1" si="10"/>
        <v>#N/A</v>
      </c>
      <c r="H90" t="e">
        <f t="shared" ca="1" si="11"/>
        <v>#N/A</v>
      </c>
    </row>
    <row r="91" spans="1:8" x14ac:dyDescent="0.2">
      <c r="A91" s="6">
        <v>89</v>
      </c>
      <c r="B91" t="e">
        <f>MATCH($A91,part!$A$1:$A$2001,0)</f>
        <v>#N/A</v>
      </c>
      <c r="C91" t="e">
        <f t="shared" ca="1" si="6"/>
        <v>#N/A</v>
      </c>
      <c r="D91" t="e">
        <f t="shared" ca="1" si="7"/>
        <v>#N/A</v>
      </c>
      <c r="E91" t="e">
        <f t="shared" ca="1" si="8"/>
        <v>#N/A</v>
      </c>
      <c r="F91" s="6" t="e">
        <f t="shared" ca="1" si="9"/>
        <v>#N/A</v>
      </c>
      <c r="G91" t="e">
        <f t="shared" ca="1" si="10"/>
        <v>#N/A</v>
      </c>
      <c r="H91" t="e">
        <f t="shared" ca="1" si="11"/>
        <v>#N/A</v>
      </c>
    </row>
    <row r="92" spans="1:8" x14ac:dyDescent="0.2">
      <c r="A92" s="6">
        <v>90</v>
      </c>
      <c r="B92" t="e">
        <f>MATCH($A92,part!$A$1:$A$2001,0)</f>
        <v>#N/A</v>
      </c>
      <c r="C92" t="e">
        <f t="shared" ca="1" si="6"/>
        <v>#N/A</v>
      </c>
      <c r="D92" t="e">
        <f t="shared" ca="1" si="7"/>
        <v>#N/A</v>
      </c>
      <c r="E92" t="e">
        <f t="shared" ca="1" si="8"/>
        <v>#N/A</v>
      </c>
      <c r="F92" s="6" t="e">
        <f t="shared" ca="1" si="9"/>
        <v>#N/A</v>
      </c>
      <c r="G92" t="e">
        <f t="shared" ca="1" si="10"/>
        <v>#N/A</v>
      </c>
      <c r="H92" t="e">
        <f t="shared" ca="1" si="11"/>
        <v>#N/A</v>
      </c>
    </row>
    <row r="93" spans="1:8" x14ac:dyDescent="0.2">
      <c r="A93" s="6">
        <v>91</v>
      </c>
      <c r="B93" t="e">
        <f>MATCH($A93,part!$A$1:$A$2001,0)</f>
        <v>#N/A</v>
      </c>
      <c r="C93" t="e">
        <f t="shared" ca="1" si="6"/>
        <v>#N/A</v>
      </c>
      <c r="D93" t="e">
        <f t="shared" ca="1" si="7"/>
        <v>#N/A</v>
      </c>
      <c r="E93" t="e">
        <f t="shared" ca="1" si="8"/>
        <v>#N/A</v>
      </c>
      <c r="F93" s="6" t="e">
        <f t="shared" ca="1" si="9"/>
        <v>#N/A</v>
      </c>
      <c r="G93" t="e">
        <f t="shared" ca="1" si="10"/>
        <v>#N/A</v>
      </c>
      <c r="H93" t="e">
        <f t="shared" ca="1" si="11"/>
        <v>#N/A</v>
      </c>
    </row>
    <row r="94" spans="1:8" x14ac:dyDescent="0.2">
      <c r="A94" s="6">
        <v>92</v>
      </c>
      <c r="B94" t="e">
        <f>MATCH($A94,part!$A$1:$A$2001,0)</f>
        <v>#N/A</v>
      </c>
      <c r="C94" t="e">
        <f t="shared" ca="1" si="6"/>
        <v>#N/A</v>
      </c>
      <c r="D94" t="e">
        <f t="shared" ca="1" si="7"/>
        <v>#N/A</v>
      </c>
      <c r="E94" t="e">
        <f t="shared" ca="1" si="8"/>
        <v>#N/A</v>
      </c>
      <c r="F94" s="6" t="e">
        <f t="shared" ca="1" si="9"/>
        <v>#N/A</v>
      </c>
      <c r="G94" t="e">
        <f t="shared" ca="1" si="10"/>
        <v>#N/A</v>
      </c>
      <c r="H94" t="e">
        <f t="shared" ca="1" si="11"/>
        <v>#N/A</v>
      </c>
    </row>
    <row r="95" spans="1:8" x14ac:dyDescent="0.2">
      <c r="A95" s="6">
        <v>93</v>
      </c>
      <c r="B95" t="e">
        <f>MATCH($A95,part!$A$1:$A$2001,0)</f>
        <v>#N/A</v>
      </c>
      <c r="C95" t="e">
        <f t="shared" ca="1" si="6"/>
        <v>#N/A</v>
      </c>
      <c r="D95" t="e">
        <f t="shared" ca="1" si="7"/>
        <v>#N/A</v>
      </c>
      <c r="E95" t="e">
        <f t="shared" ca="1" si="8"/>
        <v>#N/A</v>
      </c>
      <c r="F95" s="6" t="e">
        <f t="shared" ca="1" si="9"/>
        <v>#N/A</v>
      </c>
      <c r="G95" t="e">
        <f t="shared" ca="1" si="10"/>
        <v>#N/A</v>
      </c>
      <c r="H95" t="e">
        <f t="shared" ca="1" si="11"/>
        <v>#N/A</v>
      </c>
    </row>
    <row r="96" spans="1:8" x14ac:dyDescent="0.2">
      <c r="A96" s="6">
        <v>94</v>
      </c>
      <c r="B96" t="e">
        <f>MATCH($A96,part!$A$1:$A$2001,0)</f>
        <v>#N/A</v>
      </c>
      <c r="C96" t="e">
        <f t="shared" ca="1" si="6"/>
        <v>#N/A</v>
      </c>
      <c r="D96" t="e">
        <f t="shared" ca="1" si="7"/>
        <v>#N/A</v>
      </c>
      <c r="E96" t="e">
        <f t="shared" ca="1" si="8"/>
        <v>#N/A</v>
      </c>
      <c r="F96" s="6" t="e">
        <f t="shared" ca="1" si="9"/>
        <v>#N/A</v>
      </c>
      <c r="G96" t="e">
        <f t="shared" ca="1" si="10"/>
        <v>#N/A</v>
      </c>
      <c r="H96" t="e">
        <f t="shared" ca="1" si="11"/>
        <v>#N/A</v>
      </c>
    </row>
    <row r="97" spans="1:8" x14ac:dyDescent="0.2">
      <c r="A97" s="6">
        <v>95</v>
      </c>
      <c r="B97" t="e">
        <f>MATCH($A97,part!$A$1:$A$2001,0)</f>
        <v>#N/A</v>
      </c>
      <c r="C97" t="e">
        <f t="shared" ca="1" si="6"/>
        <v>#N/A</v>
      </c>
      <c r="D97" t="e">
        <f t="shared" ca="1" si="7"/>
        <v>#N/A</v>
      </c>
      <c r="E97" t="e">
        <f t="shared" ca="1" si="8"/>
        <v>#N/A</v>
      </c>
      <c r="F97" s="6" t="e">
        <f t="shared" ca="1" si="9"/>
        <v>#N/A</v>
      </c>
      <c r="G97" t="e">
        <f t="shared" ca="1" si="10"/>
        <v>#N/A</v>
      </c>
      <c r="H97" t="e">
        <f t="shared" ca="1" si="11"/>
        <v>#N/A</v>
      </c>
    </row>
    <row r="98" spans="1:8" x14ac:dyDescent="0.2">
      <c r="A98" s="6">
        <v>96</v>
      </c>
      <c r="B98" t="e">
        <f>MATCH($A98,part!$A$1:$A$2001,0)</f>
        <v>#N/A</v>
      </c>
      <c r="C98" t="e">
        <f t="shared" ca="1" si="6"/>
        <v>#N/A</v>
      </c>
      <c r="D98" t="e">
        <f t="shared" ca="1" si="7"/>
        <v>#N/A</v>
      </c>
      <c r="E98" t="e">
        <f t="shared" ca="1" si="8"/>
        <v>#N/A</v>
      </c>
      <c r="F98" s="6" t="e">
        <f t="shared" ca="1" si="9"/>
        <v>#N/A</v>
      </c>
      <c r="G98" t="e">
        <f t="shared" ca="1" si="10"/>
        <v>#N/A</v>
      </c>
      <c r="H98" t="e">
        <f t="shared" ca="1" si="11"/>
        <v>#N/A</v>
      </c>
    </row>
    <row r="99" spans="1:8" x14ac:dyDescent="0.2">
      <c r="A99" s="6">
        <v>97</v>
      </c>
      <c r="B99" t="e">
        <f>MATCH($A99,part!$A$1:$A$2001,0)</f>
        <v>#N/A</v>
      </c>
      <c r="C99" t="e">
        <f t="shared" ca="1" si="6"/>
        <v>#N/A</v>
      </c>
      <c r="D99" t="e">
        <f t="shared" ca="1" si="7"/>
        <v>#N/A</v>
      </c>
      <c r="E99" t="e">
        <f t="shared" ca="1" si="8"/>
        <v>#N/A</v>
      </c>
      <c r="F99" s="6" t="e">
        <f t="shared" ca="1" si="9"/>
        <v>#N/A</v>
      </c>
      <c r="G99" t="e">
        <f t="shared" ca="1" si="10"/>
        <v>#N/A</v>
      </c>
      <c r="H99" t="e">
        <f t="shared" ca="1" si="11"/>
        <v>#N/A</v>
      </c>
    </row>
    <row r="100" spans="1:8" x14ac:dyDescent="0.2">
      <c r="A100" s="6">
        <v>98</v>
      </c>
      <c r="B100" t="e">
        <f>MATCH($A100,part!$A$1:$A$2001,0)</f>
        <v>#N/A</v>
      </c>
      <c r="C100" t="e">
        <f t="shared" ca="1" si="6"/>
        <v>#N/A</v>
      </c>
      <c r="D100" t="e">
        <f t="shared" ca="1" si="7"/>
        <v>#N/A</v>
      </c>
      <c r="E100" t="e">
        <f t="shared" ca="1" si="8"/>
        <v>#N/A</v>
      </c>
      <c r="F100" s="6" t="e">
        <f t="shared" ca="1" si="9"/>
        <v>#N/A</v>
      </c>
      <c r="G100" t="e">
        <f t="shared" ca="1" si="10"/>
        <v>#N/A</v>
      </c>
      <c r="H100" t="e">
        <f t="shared" ca="1" si="11"/>
        <v>#N/A</v>
      </c>
    </row>
    <row r="101" spans="1:8" x14ac:dyDescent="0.2">
      <c r="A101" s="6">
        <v>99</v>
      </c>
      <c r="B101" t="e">
        <f>MATCH($A101,part!$A$1:$A$2001,0)</f>
        <v>#N/A</v>
      </c>
      <c r="C101" t="e">
        <f t="shared" ca="1" si="6"/>
        <v>#N/A</v>
      </c>
      <c r="D101" t="e">
        <f t="shared" ca="1" si="7"/>
        <v>#N/A</v>
      </c>
      <c r="E101" t="e">
        <f t="shared" ca="1" si="8"/>
        <v>#N/A</v>
      </c>
      <c r="F101" s="6" t="e">
        <f t="shared" ca="1" si="9"/>
        <v>#N/A</v>
      </c>
      <c r="G101" t="e">
        <f t="shared" ca="1" si="10"/>
        <v>#N/A</v>
      </c>
      <c r="H101" t="e">
        <f t="shared" ca="1" si="11"/>
        <v>#N/A</v>
      </c>
    </row>
    <row r="102" spans="1:8" x14ac:dyDescent="0.2">
      <c r="A102" s="6">
        <v>100</v>
      </c>
      <c r="B102" t="e">
        <f>MATCH($A102,part!$A$1:$A$2001,0)</f>
        <v>#N/A</v>
      </c>
      <c r="C102" t="e">
        <f t="shared" ca="1" si="6"/>
        <v>#N/A</v>
      </c>
      <c r="D102" t="e">
        <f t="shared" ca="1" si="7"/>
        <v>#N/A</v>
      </c>
      <c r="E102" t="e">
        <f t="shared" ca="1" si="8"/>
        <v>#N/A</v>
      </c>
      <c r="F102" s="6" t="e">
        <f t="shared" ca="1" si="9"/>
        <v>#N/A</v>
      </c>
      <c r="G102" t="e">
        <f t="shared" ca="1" si="10"/>
        <v>#N/A</v>
      </c>
      <c r="H102" t="e">
        <f t="shared" ca="1" si="11"/>
        <v>#N/A</v>
      </c>
    </row>
    <row r="103" spans="1:8" x14ac:dyDescent="0.2">
      <c r="A103" s="6">
        <v>101</v>
      </c>
      <c r="B103" t="e">
        <f>MATCH($A103,part!$A$1:$A$2001,0)</f>
        <v>#N/A</v>
      </c>
      <c r="C103" t="e">
        <f t="shared" ca="1" si="6"/>
        <v>#N/A</v>
      </c>
      <c r="D103" t="e">
        <f t="shared" ca="1" si="7"/>
        <v>#N/A</v>
      </c>
      <c r="E103" t="e">
        <f t="shared" ca="1" si="8"/>
        <v>#N/A</v>
      </c>
      <c r="F103" s="6" t="e">
        <f t="shared" ca="1" si="9"/>
        <v>#N/A</v>
      </c>
      <c r="G103" t="e">
        <f t="shared" ca="1" si="10"/>
        <v>#N/A</v>
      </c>
      <c r="H103" t="e">
        <f t="shared" ca="1" si="11"/>
        <v>#N/A</v>
      </c>
    </row>
    <row r="104" spans="1:8" x14ac:dyDescent="0.2">
      <c r="A104" s="6">
        <v>102</v>
      </c>
      <c r="B104" t="e">
        <f>MATCH($A104,part!$A$1:$A$2001,0)</f>
        <v>#N/A</v>
      </c>
      <c r="C104" t="e">
        <f t="shared" ca="1" si="6"/>
        <v>#N/A</v>
      </c>
      <c r="D104" t="e">
        <f t="shared" ca="1" si="7"/>
        <v>#N/A</v>
      </c>
      <c r="E104" t="e">
        <f t="shared" ca="1" si="8"/>
        <v>#N/A</v>
      </c>
      <c r="F104" s="6" t="e">
        <f t="shared" ca="1" si="9"/>
        <v>#N/A</v>
      </c>
      <c r="G104" t="e">
        <f t="shared" ca="1" si="10"/>
        <v>#N/A</v>
      </c>
      <c r="H104" t="e">
        <f t="shared" ca="1" si="11"/>
        <v>#N/A</v>
      </c>
    </row>
    <row r="105" spans="1:8" x14ac:dyDescent="0.2">
      <c r="A105" s="6">
        <v>103</v>
      </c>
      <c r="B105" t="e">
        <f>MATCH($A105,part!$A$1:$A$2001,0)</f>
        <v>#N/A</v>
      </c>
      <c r="C105" t="e">
        <f t="shared" ca="1" si="6"/>
        <v>#N/A</v>
      </c>
      <c r="D105" t="e">
        <f t="shared" ca="1" si="7"/>
        <v>#N/A</v>
      </c>
      <c r="E105" t="e">
        <f t="shared" ca="1" si="8"/>
        <v>#N/A</v>
      </c>
      <c r="F105" s="6" t="e">
        <f t="shared" ca="1" si="9"/>
        <v>#N/A</v>
      </c>
      <c r="G105" t="e">
        <f t="shared" ca="1" si="10"/>
        <v>#N/A</v>
      </c>
      <c r="H105" t="e">
        <f t="shared" ca="1" si="11"/>
        <v>#N/A</v>
      </c>
    </row>
    <row r="106" spans="1:8" x14ac:dyDescent="0.2">
      <c r="A106" s="6">
        <v>104</v>
      </c>
      <c r="B106" t="e">
        <f>MATCH($A106,part!$A$1:$A$2001,0)</f>
        <v>#N/A</v>
      </c>
      <c r="C106" t="e">
        <f t="shared" ca="1" si="6"/>
        <v>#N/A</v>
      </c>
      <c r="D106" t="e">
        <f t="shared" ca="1" si="7"/>
        <v>#N/A</v>
      </c>
      <c r="E106" t="e">
        <f t="shared" ca="1" si="8"/>
        <v>#N/A</v>
      </c>
      <c r="F106" s="6" t="e">
        <f t="shared" ca="1" si="9"/>
        <v>#N/A</v>
      </c>
      <c r="G106" t="e">
        <f t="shared" ca="1" si="10"/>
        <v>#N/A</v>
      </c>
      <c r="H106" t="e">
        <f t="shared" ca="1" si="11"/>
        <v>#N/A</v>
      </c>
    </row>
    <row r="107" spans="1:8" x14ac:dyDescent="0.2">
      <c r="A107" s="6">
        <v>105</v>
      </c>
      <c r="B107" t="e">
        <f>MATCH($A107,part!$A$1:$A$2001,0)</f>
        <v>#N/A</v>
      </c>
      <c r="C107" t="e">
        <f t="shared" ca="1" si="6"/>
        <v>#N/A</v>
      </c>
      <c r="D107" t="e">
        <f t="shared" ca="1" si="7"/>
        <v>#N/A</v>
      </c>
      <c r="E107" t="e">
        <f t="shared" ca="1" si="8"/>
        <v>#N/A</v>
      </c>
      <c r="F107" s="6" t="e">
        <f t="shared" ca="1" si="9"/>
        <v>#N/A</v>
      </c>
      <c r="G107" t="e">
        <f t="shared" ca="1" si="10"/>
        <v>#N/A</v>
      </c>
      <c r="H107" t="e">
        <f t="shared" ca="1" si="11"/>
        <v>#N/A</v>
      </c>
    </row>
    <row r="108" spans="1:8" x14ac:dyDescent="0.2">
      <c r="A108" s="6">
        <v>106</v>
      </c>
      <c r="B108" t="e">
        <f>MATCH($A108,part!$A$1:$A$2001,0)</f>
        <v>#N/A</v>
      </c>
      <c r="C108" t="e">
        <f t="shared" ca="1" si="6"/>
        <v>#N/A</v>
      </c>
      <c r="D108" t="e">
        <f t="shared" ca="1" si="7"/>
        <v>#N/A</v>
      </c>
      <c r="E108" t="e">
        <f t="shared" ca="1" si="8"/>
        <v>#N/A</v>
      </c>
      <c r="F108" s="6" t="e">
        <f t="shared" ca="1" si="9"/>
        <v>#N/A</v>
      </c>
      <c r="G108" t="e">
        <f t="shared" ca="1" si="10"/>
        <v>#N/A</v>
      </c>
      <c r="H108" t="e">
        <f t="shared" ca="1" si="11"/>
        <v>#N/A</v>
      </c>
    </row>
    <row r="109" spans="1:8" x14ac:dyDescent="0.2">
      <c r="A109" s="6">
        <v>107</v>
      </c>
      <c r="B109" t="e">
        <f>MATCH($A109,part!$A$1:$A$2001,0)</f>
        <v>#N/A</v>
      </c>
      <c r="C109" t="e">
        <f t="shared" ca="1" si="6"/>
        <v>#N/A</v>
      </c>
      <c r="D109" t="e">
        <f t="shared" ca="1" si="7"/>
        <v>#N/A</v>
      </c>
      <c r="E109" t="e">
        <f t="shared" ca="1" si="8"/>
        <v>#N/A</v>
      </c>
      <c r="F109" s="6" t="e">
        <f t="shared" ca="1" si="9"/>
        <v>#N/A</v>
      </c>
      <c r="G109" t="e">
        <f t="shared" ca="1" si="10"/>
        <v>#N/A</v>
      </c>
      <c r="H109" t="e">
        <f t="shared" ca="1" si="11"/>
        <v>#N/A</v>
      </c>
    </row>
    <row r="110" spans="1:8" x14ac:dyDescent="0.2">
      <c r="A110" s="6">
        <v>108</v>
      </c>
      <c r="B110" t="e">
        <f>MATCH($A110,part!$A$1:$A$2001,0)</f>
        <v>#N/A</v>
      </c>
      <c r="C110" t="e">
        <f t="shared" ca="1" si="6"/>
        <v>#N/A</v>
      </c>
      <c r="D110" t="e">
        <f t="shared" ca="1" si="7"/>
        <v>#N/A</v>
      </c>
      <c r="E110" t="e">
        <f t="shared" ca="1" si="8"/>
        <v>#N/A</v>
      </c>
      <c r="F110" s="6" t="e">
        <f t="shared" ca="1" si="9"/>
        <v>#N/A</v>
      </c>
      <c r="G110" t="e">
        <f t="shared" ca="1" si="10"/>
        <v>#N/A</v>
      </c>
      <c r="H110" t="e">
        <f t="shared" ca="1" si="11"/>
        <v>#N/A</v>
      </c>
    </row>
    <row r="111" spans="1:8" x14ac:dyDescent="0.2">
      <c r="A111" s="6">
        <v>109</v>
      </c>
      <c r="B111" t="e">
        <f>MATCH($A111,part!$A$1:$A$2001,0)</f>
        <v>#N/A</v>
      </c>
      <c r="C111" t="e">
        <f t="shared" ca="1" si="6"/>
        <v>#N/A</v>
      </c>
      <c r="D111" t="e">
        <f t="shared" ca="1" si="7"/>
        <v>#N/A</v>
      </c>
      <c r="E111" t="e">
        <f t="shared" ca="1" si="8"/>
        <v>#N/A</v>
      </c>
      <c r="F111" s="6" t="e">
        <f t="shared" ca="1" si="9"/>
        <v>#N/A</v>
      </c>
      <c r="G111" t="e">
        <f t="shared" ca="1" si="10"/>
        <v>#N/A</v>
      </c>
      <c r="H111" t="e">
        <f t="shared" ca="1" si="11"/>
        <v>#N/A</v>
      </c>
    </row>
    <row r="112" spans="1:8" x14ac:dyDescent="0.2">
      <c r="A112" s="6">
        <v>110</v>
      </c>
      <c r="B112" t="e">
        <f>MATCH($A112,part!$A$1:$A$2001,0)</f>
        <v>#N/A</v>
      </c>
      <c r="C112" t="e">
        <f t="shared" ca="1" si="6"/>
        <v>#N/A</v>
      </c>
      <c r="D112" t="e">
        <f t="shared" ca="1" si="7"/>
        <v>#N/A</v>
      </c>
      <c r="E112" t="e">
        <f t="shared" ca="1" si="8"/>
        <v>#N/A</v>
      </c>
      <c r="F112" s="6" t="e">
        <f t="shared" ca="1" si="9"/>
        <v>#N/A</v>
      </c>
      <c r="G112" t="e">
        <f t="shared" ca="1" si="10"/>
        <v>#N/A</v>
      </c>
      <c r="H112" t="e">
        <f t="shared" ca="1" si="11"/>
        <v>#N/A</v>
      </c>
    </row>
    <row r="113" spans="1:8" x14ac:dyDescent="0.2">
      <c r="A113" s="6">
        <v>111</v>
      </c>
      <c r="B113" t="e">
        <f>MATCH($A113,part!$A$1:$A$2001,0)</f>
        <v>#N/A</v>
      </c>
      <c r="C113" t="e">
        <f t="shared" ca="1" si="6"/>
        <v>#N/A</v>
      </c>
      <c r="D113" t="e">
        <f t="shared" ca="1" si="7"/>
        <v>#N/A</v>
      </c>
      <c r="E113" t="e">
        <f t="shared" ca="1" si="8"/>
        <v>#N/A</v>
      </c>
      <c r="F113" s="6" t="e">
        <f t="shared" ca="1" si="9"/>
        <v>#N/A</v>
      </c>
      <c r="G113" t="e">
        <f t="shared" ca="1" si="10"/>
        <v>#N/A</v>
      </c>
      <c r="H113" t="e">
        <f t="shared" ca="1" si="11"/>
        <v>#N/A</v>
      </c>
    </row>
    <row r="114" spans="1:8" x14ac:dyDescent="0.2">
      <c r="A114" s="6">
        <v>112</v>
      </c>
      <c r="B114" t="e">
        <f>MATCH($A114,part!$A$1:$A$2001,0)</f>
        <v>#N/A</v>
      </c>
      <c r="C114" t="e">
        <f t="shared" ca="1" si="6"/>
        <v>#N/A</v>
      </c>
      <c r="D114" t="e">
        <f t="shared" ca="1" si="7"/>
        <v>#N/A</v>
      </c>
      <c r="E114" t="e">
        <f t="shared" ca="1" si="8"/>
        <v>#N/A</v>
      </c>
      <c r="F114" s="6" t="e">
        <f t="shared" ca="1" si="9"/>
        <v>#N/A</v>
      </c>
      <c r="G114" t="e">
        <f t="shared" ca="1" si="10"/>
        <v>#N/A</v>
      </c>
      <c r="H114" t="e">
        <f t="shared" ca="1" si="11"/>
        <v>#N/A</v>
      </c>
    </row>
    <row r="115" spans="1:8" x14ac:dyDescent="0.2">
      <c r="A115" s="6">
        <v>113</v>
      </c>
      <c r="B115" t="e">
        <f>MATCH($A115,part!$A$1:$A$2001,0)</f>
        <v>#N/A</v>
      </c>
      <c r="C115" t="e">
        <f t="shared" ca="1" si="6"/>
        <v>#N/A</v>
      </c>
      <c r="D115" t="e">
        <f t="shared" ca="1" si="7"/>
        <v>#N/A</v>
      </c>
      <c r="E115" t="e">
        <f t="shared" ca="1" si="8"/>
        <v>#N/A</v>
      </c>
      <c r="F115" s="6" t="e">
        <f t="shared" ca="1" si="9"/>
        <v>#N/A</v>
      </c>
      <c r="G115" t="e">
        <f t="shared" ca="1" si="10"/>
        <v>#N/A</v>
      </c>
      <c r="H115" t="e">
        <f t="shared" ca="1" si="11"/>
        <v>#N/A</v>
      </c>
    </row>
    <row r="116" spans="1:8" x14ac:dyDescent="0.2">
      <c r="A116" s="6">
        <v>114</v>
      </c>
      <c r="B116" t="e">
        <f>MATCH($A116,part!$A$1:$A$2001,0)</f>
        <v>#N/A</v>
      </c>
      <c r="C116" t="e">
        <f t="shared" ca="1" si="6"/>
        <v>#N/A</v>
      </c>
      <c r="D116" t="e">
        <f t="shared" ca="1" si="7"/>
        <v>#N/A</v>
      </c>
      <c r="E116" t="e">
        <f t="shared" ca="1" si="8"/>
        <v>#N/A</v>
      </c>
      <c r="F116" s="6" t="e">
        <f t="shared" ca="1" si="9"/>
        <v>#N/A</v>
      </c>
      <c r="G116" t="e">
        <f t="shared" ca="1" si="10"/>
        <v>#N/A</v>
      </c>
      <c r="H116" t="e">
        <f t="shared" ca="1" si="11"/>
        <v>#N/A</v>
      </c>
    </row>
    <row r="117" spans="1:8" x14ac:dyDescent="0.2">
      <c r="A117" s="6">
        <v>115</v>
      </c>
      <c r="B117" t="e">
        <f>MATCH($A117,part!$A$1:$A$2001,0)</f>
        <v>#N/A</v>
      </c>
      <c r="C117" t="e">
        <f t="shared" ca="1" si="6"/>
        <v>#N/A</v>
      </c>
      <c r="D117" t="e">
        <f t="shared" ca="1" si="7"/>
        <v>#N/A</v>
      </c>
      <c r="E117" t="e">
        <f t="shared" ca="1" si="8"/>
        <v>#N/A</v>
      </c>
      <c r="F117" s="6" t="e">
        <f t="shared" ca="1" si="9"/>
        <v>#N/A</v>
      </c>
      <c r="G117" t="e">
        <f t="shared" ca="1" si="10"/>
        <v>#N/A</v>
      </c>
      <c r="H117" t="e">
        <f t="shared" ca="1" si="11"/>
        <v>#N/A</v>
      </c>
    </row>
    <row r="118" spans="1:8" x14ac:dyDescent="0.2">
      <c r="A118" s="6">
        <v>116</v>
      </c>
      <c r="B118" t="e">
        <f>MATCH($A118,part!$A$1:$A$2001,0)</f>
        <v>#N/A</v>
      </c>
      <c r="C118" t="e">
        <f t="shared" ca="1" si="6"/>
        <v>#N/A</v>
      </c>
      <c r="D118" t="e">
        <f t="shared" ca="1" si="7"/>
        <v>#N/A</v>
      </c>
      <c r="E118" t="e">
        <f t="shared" ca="1" si="8"/>
        <v>#N/A</v>
      </c>
      <c r="F118" s="6" t="e">
        <f t="shared" ca="1" si="9"/>
        <v>#N/A</v>
      </c>
      <c r="G118" t="e">
        <f t="shared" ca="1" si="10"/>
        <v>#N/A</v>
      </c>
      <c r="H118" t="e">
        <f t="shared" ca="1" si="11"/>
        <v>#N/A</v>
      </c>
    </row>
    <row r="119" spans="1:8" x14ac:dyDescent="0.2">
      <c r="A119" s="6">
        <v>117</v>
      </c>
      <c r="B119" t="e">
        <f>MATCH($A119,part!$A$1:$A$2001,0)</f>
        <v>#N/A</v>
      </c>
      <c r="C119" t="e">
        <f t="shared" ca="1" si="6"/>
        <v>#N/A</v>
      </c>
      <c r="D119" t="e">
        <f t="shared" ca="1" si="7"/>
        <v>#N/A</v>
      </c>
      <c r="E119" t="e">
        <f t="shared" ca="1" si="8"/>
        <v>#N/A</v>
      </c>
      <c r="F119" s="6" t="e">
        <f t="shared" ca="1" si="9"/>
        <v>#N/A</v>
      </c>
      <c r="G119" t="e">
        <f t="shared" ca="1" si="10"/>
        <v>#N/A</v>
      </c>
      <c r="H119" t="e">
        <f t="shared" ca="1" si="11"/>
        <v>#N/A</v>
      </c>
    </row>
    <row r="120" spans="1:8" x14ac:dyDescent="0.2">
      <c r="A120" s="6">
        <v>118</v>
      </c>
      <c r="B120" t="e">
        <f>MATCH($A120,part!$A$1:$A$2001,0)</f>
        <v>#N/A</v>
      </c>
      <c r="C120" t="e">
        <f t="shared" ca="1" si="6"/>
        <v>#N/A</v>
      </c>
      <c r="D120" t="e">
        <f t="shared" ca="1" si="7"/>
        <v>#N/A</v>
      </c>
      <c r="E120" t="e">
        <f t="shared" ca="1" si="8"/>
        <v>#N/A</v>
      </c>
      <c r="F120" s="6" t="e">
        <f t="shared" ca="1" si="9"/>
        <v>#N/A</v>
      </c>
      <c r="G120" t="e">
        <f t="shared" ca="1" si="10"/>
        <v>#N/A</v>
      </c>
      <c r="H120" t="e">
        <f t="shared" ca="1" si="11"/>
        <v>#N/A</v>
      </c>
    </row>
    <row r="121" spans="1:8" x14ac:dyDescent="0.2">
      <c r="A121" s="6">
        <v>119</v>
      </c>
      <c r="B121" t="e">
        <f>MATCH($A121,part!$A$1:$A$2001,0)</f>
        <v>#N/A</v>
      </c>
      <c r="C121" t="e">
        <f t="shared" ca="1" si="6"/>
        <v>#N/A</v>
      </c>
      <c r="D121" t="e">
        <f t="shared" ca="1" si="7"/>
        <v>#N/A</v>
      </c>
      <c r="E121" t="e">
        <f t="shared" ca="1" si="8"/>
        <v>#N/A</v>
      </c>
      <c r="F121" s="6" t="e">
        <f t="shared" ca="1" si="9"/>
        <v>#N/A</v>
      </c>
      <c r="G121" t="e">
        <f t="shared" ca="1" si="10"/>
        <v>#N/A</v>
      </c>
      <c r="H121" t="e">
        <f t="shared" ca="1" si="11"/>
        <v>#N/A</v>
      </c>
    </row>
    <row r="122" spans="1:8" x14ac:dyDescent="0.2">
      <c r="A122" s="6">
        <v>120</v>
      </c>
      <c r="B122" t="e">
        <f>MATCH($A122,part!$A$1:$A$2001,0)</f>
        <v>#N/A</v>
      </c>
      <c r="C122" t="e">
        <f t="shared" ca="1" si="6"/>
        <v>#N/A</v>
      </c>
      <c r="D122" t="e">
        <f t="shared" ca="1" si="7"/>
        <v>#N/A</v>
      </c>
      <c r="E122" t="e">
        <f t="shared" ca="1" si="8"/>
        <v>#N/A</v>
      </c>
      <c r="F122" s="6" t="e">
        <f t="shared" ca="1" si="9"/>
        <v>#N/A</v>
      </c>
      <c r="G122" t="e">
        <f t="shared" ca="1" si="10"/>
        <v>#N/A</v>
      </c>
      <c r="H122" t="e">
        <f t="shared" ca="1" si="11"/>
        <v>#N/A</v>
      </c>
    </row>
    <row r="123" spans="1:8" x14ac:dyDescent="0.2">
      <c r="A123" s="6">
        <v>121</v>
      </c>
      <c r="B123" t="e">
        <f>MATCH($A123,part!$A$1:$A$2001,0)</f>
        <v>#N/A</v>
      </c>
      <c r="C123" t="e">
        <f t="shared" ca="1" si="6"/>
        <v>#N/A</v>
      </c>
      <c r="D123" t="e">
        <f t="shared" ca="1" si="7"/>
        <v>#N/A</v>
      </c>
      <c r="E123" t="e">
        <f t="shared" ca="1" si="8"/>
        <v>#N/A</v>
      </c>
      <c r="F123" s="6" t="e">
        <f t="shared" ca="1" si="9"/>
        <v>#N/A</v>
      </c>
      <c r="G123" t="e">
        <f t="shared" ca="1" si="10"/>
        <v>#N/A</v>
      </c>
      <c r="H123" t="e">
        <f t="shared" ca="1" si="11"/>
        <v>#N/A</v>
      </c>
    </row>
    <row r="124" spans="1:8" x14ac:dyDescent="0.2">
      <c r="A124" s="6">
        <v>122</v>
      </c>
      <c r="B124" t="e">
        <f>MATCH($A124,part!$A$1:$A$2001,0)</f>
        <v>#N/A</v>
      </c>
      <c r="C124" t="e">
        <f t="shared" ca="1" si="6"/>
        <v>#N/A</v>
      </c>
      <c r="D124" t="e">
        <f t="shared" ca="1" si="7"/>
        <v>#N/A</v>
      </c>
      <c r="E124" t="e">
        <f t="shared" ca="1" si="8"/>
        <v>#N/A</v>
      </c>
      <c r="F124" s="6" t="e">
        <f t="shared" ca="1" si="9"/>
        <v>#N/A</v>
      </c>
      <c r="G124" t="e">
        <f t="shared" ca="1" si="10"/>
        <v>#N/A</v>
      </c>
      <c r="H124" t="e">
        <f t="shared" ca="1" si="11"/>
        <v>#N/A</v>
      </c>
    </row>
    <row r="125" spans="1:8" x14ac:dyDescent="0.2">
      <c r="A125" s="6">
        <v>123</v>
      </c>
      <c r="B125" t="e">
        <f>MATCH($A125,part!$A$1:$A$2001,0)</f>
        <v>#N/A</v>
      </c>
      <c r="C125" t="e">
        <f t="shared" ca="1" si="6"/>
        <v>#N/A</v>
      </c>
      <c r="D125" t="e">
        <f t="shared" ca="1" si="7"/>
        <v>#N/A</v>
      </c>
      <c r="E125" t="e">
        <f t="shared" ca="1" si="8"/>
        <v>#N/A</v>
      </c>
      <c r="F125" s="6" t="e">
        <f t="shared" ca="1" si="9"/>
        <v>#N/A</v>
      </c>
      <c r="G125" t="e">
        <f t="shared" ca="1" si="10"/>
        <v>#N/A</v>
      </c>
      <c r="H125" t="e">
        <f t="shared" ca="1" si="11"/>
        <v>#N/A</v>
      </c>
    </row>
    <row r="126" spans="1:8" x14ac:dyDescent="0.2">
      <c r="A126" s="6">
        <v>124</v>
      </c>
      <c r="B126" t="e">
        <f>MATCH($A126,part!$A$1:$A$2001,0)</f>
        <v>#N/A</v>
      </c>
      <c r="C126" t="e">
        <f t="shared" ca="1" si="6"/>
        <v>#N/A</v>
      </c>
      <c r="D126" t="e">
        <f t="shared" ca="1" si="7"/>
        <v>#N/A</v>
      </c>
      <c r="E126" t="e">
        <f t="shared" ca="1" si="8"/>
        <v>#N/A</v>
      </c>
      <c r="F126" s="6" t="e">
        <f t="shared" ca="1" si="9"/>
        <v>#N/A</v>
      </c>
      <c r="G126" t="e">
        <f t="shared" ca="1" si="10"/>
        <v>#N/A</v>
      </c>
      <c r="H126" t="e">
        <f t="shared" ca="1" si="11"/>
        <v>#N/A</v>
      </c>
    </row>
    <row r="127" spans="1:8" x14ac:dyDescent="0.2">
      <c r="A127" s="6">
        <v>125</v>
      </c>
      <c r="B127" t="e">
        <f>MATCH($A127,part!$A$1:$A$2001,0)</f>
        <v>#N/A</v>
      </c>
      <c r="C127" t="e">
        <f t="shared" ca="1" si="6"/>
        <v>#N/A</v>
      </c>
      <c r="D127" t="e">
        <f t="shared" ca="1" si="7"/>
        <v>#N/A</v>
      </c>
      <c r="E127" t="e">
        <f t="shared" ca="1" si="8"/>
        <v>#N/A</v>
      </c>
      <c r="F127" s="6" t="e">
        <f t="shared" ca="1" si="9"/>
        <v>#N/A</v>
      </c>
      <c r="G127" t="e">
        <f t="shared" ca="1" si="10"/>
        <v>#N/A</v>
      </c>
      <c r="H127" t="e">
        <f t="shared" ca="1" si="11"/>
        <v>#N/A</v>
      </c>
    </row>
    <row r="128" spans="1:8" x14ac:dyDescent="0.2">
      <c r="A128" s="6">
        <v>126</v>
      </c>
      <c r="B128" t="e">
        <f>MATCH($A128,part!$A$1:$A$2001,0)</f>
        <v>#N/A</v>
      </c>
      <c r="C128" t="e">
        <f t="shared" ca="1" si="6"/>
        <v>#N/A</v>
      </c>
      <c r="D128" t="e">
        <f t="shared" ca="1" si="7"/>
        <v>#N/A</v>
      </c>
      <c r="E128" t="e">
        <f t="shared" ca="1" si="8"/>
        <v>#N/A</v>
      </c>
      <c r="F128" s="6" t="e">
        <f t="shared" ca="1" si="9"/>
        <v>#N/A</v>
      </c>
      <c r="G128" t="e">
        <f t="shared" ca="1" si="10"/>
        <v>#N/A</v>
      </c>
      <c r="H128" t="e">
        <f t="shared" ca="1" si="11"/>
        <v>#N/A</v>
      </c>
    </row>
    <row r="129" spans="1:8" x14ac:dyDescent="0.2">
      <c r="A129" s="6">
        <v>127</v>
      </c>
      <c r="B129" t="e">
        <f>MATCH($A129,part!$A$1:$A$2001,0)</f>
        <v>#N/A</v>
      </c>
      <c r="C129" t="e">
        <f t="shared" ca="1" si="6"/>
        <v>#N/A</v>
      </c>
      <c r="D129" t="e">
        <f t="shared" ca="1" si="7"/>
        <v>#N/A</v>
      </c>
      <c r="E129" t="e">
        <f t="shared" ca="1" si="8"/>
        <v>#N/A</v>
      </c>
      <c r="F129" s="6" t="e">
        <f t="shared" ca="1" si="9"/>
        <v>#N/A</v>
      </c>
      <c r="G129" t="e">
        <f t="shared" ca="1" si="10"/>
        <v>#N/A</v>
      </c>
      <c r="H129" t="e">
        <f t="shared" ca="1" si="11"/>
        <v>#N/A</v>
      </c>
    </row>
    <row r="130" spans="1:8" x14ac:dyDescent="0.2">
      <c r="A130" s="6">
        <v>128</v>
      </c>
      <c r="B130" t="e">
        <f>MATCH($A130,part!$A$1:$A$2001,0)</f>
        <v>#N/A</v>
      </c>
      <c r="C130" t="e">
        <f t="shared" ref="C130:C193" ca="1" si="12">INDIRECT(ADDRESS($B130,2,,,"part"))</f>
        <v>#N/A</v>
      </c>
      <c r="D130" t="e">
        <f t="shared" ref="D130:D193" ca="1" si="13">INDIRECT(ADDRESS($B130,3,,,"part"))</f>
        <v>#N/A</v>
      </c>
      <c r="E130" t="e">
        <f t="shared" ref="E130:E193" ca="1" si="14">INDIRECT(ADDRESS($D130+1,2,,,"[namespace.xlsx]part type"))</f>
        <v>#N/A</v>
      </c>
      <c r="F130" s="6" t="e">
        <f t="shared" ref="F130:F193" ca="1" si="15">INDIRECT(ADDRESS($B130,4,,,"part"))</f>
        <v>#N/A</v>
      </c>
      <c r="G130" t="e">
        <f t="shared" ref="G130:G193" ca="1" si="16">IF($F130&gt;=0,INDIRECT(ADDRESS($F130+2,2,,,"comp")),-1)</f>
        <v>#N/A</v>
      </c>
      <c r="H130" t="e">
        <f t="shared" ref="H130:H193" ca="1" si="17">INDIRECT(ADDRESS($G130+2,2,,,"[namespace.xlsx]comp type"))</f>
        <v>#N/A</v>
      </c>
    </row>
    <row r="131" spans="1:8" x14ac:dyDescent="0.2">
      <c r="A131" s="6">
        <v>129</v>
      </c>
      <c r="B131" t="e">
        <f>MATCH($A131,part!$A$1:$A$2001,0)</f>
        <v>#N/A</v>
      </c>
      <c r="C131" t="e">
        <f t="shared" ca="1" si="12"/>
        <v>#N/A</v>
      </c>
      <c r="D131" t="e">
        <f t="shared" ca="1" si="13"/>
        <v>#N/A</v>
      </c>
      <c r="E131" t="e">
        <f t="shared" ca="1" si="14"/>
        <v>#N/A</v>
      </c>
      <c r="F131" s="6" t="e">
        <f t="shared" ca="1" si="15"/>
        <v>#N/A</v>
      </c>
      <c r="G131" t="e">
        <f t="shared" ca="1" si="16"/>
        <v>#N/A</v>
      </c>
      <c r="H131" t="e">
        <f t="shared" ca="1" si="17"/>
        <v>#N/A</v>
      </c>
    </row>
    <row r="132" spans="1:8" x14ac:dyDescent="0.2">
      <c r="A132" s="6">
        <v>130</v>
      </c>
      <c r="B132" t="e">
        <f>MATCH($A132,part!$A$1:$A$2001,0)</f>
        <v>#N/A</v>
      </c>
      <c r="C132" t="e">
        <f t="shared" ca="1" si="12"/>
        <v>#N/A</v>
      </c>
      <c r="D132" t="e">
        <f t="shared" ca="1" si="13"/>
        <v>#N/A</v>
      </c>
      <c r="E132" t="e">
        <f t="shared" ca="1" si="14"/>
        <v>#N/A</v>
      </c>
      <c r="F132" s="6" t="e">
        <f t="shared" ca="1" si="15"/>
        <v>#N/A</v>
      </c>
      <c r="G132" t="e">
        <f t="shared" ca="1" si="16"/>
        <v>#N/A</v>
      </c>
      <c r="H132" t="e">
        <f t="shared" ca="1" si="17"/>
        <v>#N/A</v>
      </c>
    </row>
    <row r="133" spans="1:8" x14ac:dyDescent="0.2">
      <c r="A133" s="6">
        <v>131</v>
      </c>
      <c r="B133" t="e">
        <f>MATCH($A133,part!$A$1:$A$2001,0)</f>
        <v>#N/A</v>
      </c>
      <c r="C133" t="e">
        <f t="shared" ca="1" si="12"/>
        <v>#N/A</v>
      </c>
      <c r="D133" t="e">
        <f t="shared" ca="1" si="13"/>
        <v>#N/A</v>
      </c>
      <c r="E133" t="e">
        <f t="shared" ca="1" si="14"/>
        <v>#N/A</v>
      </c>
      <c r="F133" s="6" t="e">
        <f t="shared" ca="1" si="15"/>
        <v>#N/A</v>
      </c>
      <c r="G133" t="e">
        <f t="shared" ca="1" si="16"/>
        <v>#N/A</v>
      </c>
      <c r="H133" t="e">
        <f t="shared" ca="1" si="17"/>
        <v>#N/A</v>
      </c>
    </row>
    <row r="134" spans="1:8" x14ac:dyDescent="0.2">
      <c r="A134" s="6">
        <v>132</v>
      </c>
      <c r="B134" t="e">
        <f>MATCH($A134,part!$A$1:$A$2001,0)</f>
        <v>#N/A</v>
      </c>
      <c r="C134" t="e">
        <f t="shared" ca="1" si="12"/>
        <v>#N/A</v>
      </c>
      <c r="D134" t="e">
        <f t="shared" ca="1" si="13"/>
        <v>#N/A</v>
      </c>
      <c r="E134" t="e">
        <f t="shared" ca="1" si="14"/>
        <v>#N/A</v>
      </c>
      <c r="F134" s="6" t="e">
        <f t="shared" ca="1" si="15"/>
        <v>#N/A</v>
      </c>
      <c r="G134" t="e">
        <f t="shared" ca="1" si="16"/>
        <v>#N/A</v>
      </c>
      <c r="H134" t="e">
        <f t="shared" ca="1" si="17"/>
        <v>#N/A</v>
      </c>
    </row>
    <row r="135" spans="1:8" x14ac:dyDescent="0.2">
      <c r="A135" s="6">
        <v>133</v>
      </c>
      <c r="B135" t="e">
        <f>MATCH($A135,part!$A$1:$A$2001,0)</f>
        <v>#N/A</v>
      </c>
      <c r="C135" t="e">
        <f t="shared" ca="1" si="12"/>
        <v>#N/A</v>
      </c>
      <c r="D135" t="e">
        <f t="shared" ca="1" si="13"/>
        <v>#N/A</v>
      </c>
      <c r="E135" t="e">
        <f t="shared" ca="1" si="14"/>
        <v>#N/A</v>
      </c>
      <c r="F135" s="6" t="e">
        <f t="shared" ca="1" si="15"/>
        <v>#N/A</v>
      </c>
      <c r="G135" t="e">
        <f t="shared" ca="1" si="16"/>
        <v>#N/A</v>
      </c>
      <c r="H135" t="e">
        <f t="shared" ca="1" si="17"/>
        <v>#N/A</v>
      </c>
    </row>
    <row r="136" spans="1:8" x14ac:dyDescent="0.2">
      <c r="A136" s="6">
        <v>134</v>
      </c>
      <c r="B136" t="e">
        <f>MATCH($A136,part!$A$1:$A$2001,0)</f>
        <v>#N/A</v>
      </c>
      <c r="C136" t="e">
        <f t="shared" ca="1" si="12"/>
        <v>#N/A</v>
      </c>
      <c r="D136" t="e">
        <f t="shared" ca="1" si="13"/>
        <v>#N/A</v>
      </c>
      <c r="E136" t="e">
        <f t="shared" ca="1" si="14"/>
        <v>#N/A</v>
      </c>
      <c r="F136" s="6" t="e">
        <f t="shared" ca="1" si="15"/>
        <v>#N/A</v>
      </c>
      <c r="G136" t="e">
        <f t="shared" ca="1" si="16"/>
        <v>#N/A</v>
      </c>
      <c r="H136" t="e">
        <f t="shared" ca="1" si="17"/>
        <v>#N/A</v>
      </c>
    </row>
    <row r="137" spans="1:8" x14ac:dyDescent="0.2">
      <c r="A137" s="6">
        <v>135</v>
      </c>
      <c r="B137" t="e">
        <f>MATCH($A137,part!$A$1:$A$2001,0)</f>
        <v>#N/A</v>
      </c>
      <c r="C137" t="e">
        <f t="shared" ca="1" si="12"/>
        <v>#N/A</v>
      </c>
      <c r="D137" t="e">
        <f t="shared" ca="1" si="13"/>
        <v>#N/A</v>
      </c>
      <c r="E137" t="e">
        <f t="shared" ca="1" si="14"/>
        <v>#N/A</v>
      </c>
      <c r="F137" s="6" t="e">
        <f t="shared" ca="1" si="15"/>
        <v>#N/A</v>
      </c>
      <c r="G137" t="e">
        <f t="shared" ca="1" si="16"/>
        <v>#N/A</v>
      </c>
      <c r="H137" t="e">
        <f t="shared" ca="1" si="17"/>
        <v>#N/A</v>
      </c>
    </row>
    <row r="138" spans="1:8" x14ac:dyDescent="0.2">
      <c r="A138" s="6">
        <v>136</v>
      </c>
      <c r="B138" t="e">
        <f>MATCH($A138,part!$A$1:$A$2001,0)</f>
        <v>#N/A</v>
      </c>
      <c r="C138" t="e">
        <f t="shared" ca="1" si="12"/>
        <v>#N/A</v>
      </c>
      <c r="D138" t="e">
        <f t="shared" ca="1" si="13"/>
        <v>#N/A</v>
      </c>
      <c r="E138" t="e">
        <f t="shared" ca="1" si="14"/>
        <v>#N/A</v>
      </c>
      <c r="F138" s="6" t="e">
        <f t="shared" ca="1" si="15"/>
        <v>#N/A</v>
      </c>
      <c r="G138" t="e">
        <f t="shared" ca="1" si="16"/>
        <v>#N/A</v>
      </c>
      <c r="H138" t="e">
        <f t="shared" ca="1" si="17"/>
        <v>#N/A</v>
      </c>
    </row>
    <row r="139" spans="1:8" x14ac:dyDescent="0.2">
      <c r="A139" s="6">
        <v>137</v>
      </c>
      <c r="B139" t="e">
        <f>MATCH($A139,part!$A$1:$A$2001,0)</f>
        <v>#N/A</v>
      </c>
      <c r="C139" t="e">
        <f t="shared" ca="1" si="12"/>
        <v>#N/A</v>
      </c>
      <c r="D139" t="e">
        <f t="shared" ca="1" si="13"/>
        <v>#N/A</v>
      </c>
      <c r="E139" t="e">
        <f t="shared" ca="1" si="14"/>
        <v>#N/A</v>
      </c>
      <c r="F139" s="6" t="e">
        <f t="shared" ca="1" si="15"/>
        <v>#N/A</v>
      </c>
      <c r="G139" t="e">
        <f t="shared" ca="1" si="16"/>
        <v>#N/A</v>
      </c>
      <c r="H139" t="e">
        <f t="shared" ca="1" si="17"/>
        <v>#N/A</v>
      </c>
    </row>
    <row r="140" spans="1:8" x14ac:dyDescent="0.2">
      <c r="A140" s="6">
        <v>138</v>
      </c>
      <c r="B140" t="e">
        <f>MATCH($A140,part!$A$1:$A$2001,0)</f>
        <v>#N/A</v>
      </c>
      <c r="C140" t="e">
        <f t="shared" ca="1" si="12"/>
        <v>#N/A</v>
      </c>
      <c r="D140" t="e">
        <f t="shared" ca="1" si="13"/>
        <v>#N/A</v>
      </c>
      <c r="E140" t="e">
        <f t="shared" ca="1" si="14"/>
        <v>#N/A</v>
      </c>
      <c r="F140" s="6" t="e">
        <f t="shared" ca="1" si="15"/>
        <v>#N/A</v>
      </c>
      <c r="G140" t="e">
        <f t="shared" ca="1" si="16"/>
        <v>#N/A</v>
      </c>
      <c r="H140" t="e">
        <f t="shared" ca="1" si="17"/>
        <v>#N/A</v>
      </c>
    </row>
    <row r="141" spans="1:8" x14ac:dyDescent="0.2">
      <c r="A141" s="6">
        <v>139</v>
      </c>
      <c r="B141" t="e">
        <f>MATCH($A141,part!$A$1:$A$2001,0)</f>
        <v>#N/A</v>
      </c>
      <c r="C141" t="e">
        <f t="shared" ca="1" si="12"/>
        <v>#N/A</v>
      </c>
      <c r="D141" t="e">
        <f t="shared" ca="1" si="13"/>
        <v>#N/A</v>
      </c>
      <c r="E141" t="e">
        <f t="shared" ca="1" si="14"/>
        <v>#N/A</v>
      </c>
      <c r="F141" s="6" t="e">
        <f t="shared" ca="1" si="15"/>
        <v>#N/A</v>
      </c>
      <c r="G141" t="e">
        <f t="shared" ca="1" si="16"/>
        <v>#N/A</v>
      </c>
      <c r="H141" t="e">
        <f t="shared" ca="1" si="17"/>
        <v>#N/A</v>
      </c>
    </row>
    <row r="142" spans="1:8" x14ac:dyDescent="0.2">
      <c r="A142" s="6">
        <v>140</v>
      </c>
      <c r="B142" t="e">
        <f>MATCH($A142,part!$A$1:$A$2001,0)</f>
        <v>#N/A</v>
      </c>
      <c r="C142" t="e">
        <f t="shared" ca="1" si="12"/>
        <v>#N/A</v>
      </c>
      <c r="D142" t="e">
        <f t="shared" ca="1" si="13"/>
        <v>#N/A</v>
      </c>
      <c r="E142" t="e">
        <f t="shared" ca="1" si="14"/>
        <v>#N/A</v>
      </c>
      <c r="F142" s="6" t="e">
        <f t="shared" ca="1" si="15"/>
        <v>#N/A</v>
      </c>
      <c r="G142" t="e">
        <f t="shared" ca="1" si="16"/>
        <v>#N/A</v>
      </c>
      <c r="H142" t="e">
        <f t="shared" ca="1" si="17"/>
        <v>#N/A</v>
      </c>
    </row>
    <row r="143" spans="1:8" x14ac:dyDescent="0.2">
      <c r="A143" s="6">
        <v>141</v>
      </c>
      <c r="B143" t="e">
        <f>MATCH($A143,part!$A$1:$A$2001,0)</f>
        <v>#N/A</v>
      </c>
      <c r="C143" t="e">
        <f t="shared" ca="1" si="12"/>
        <v>#N/A</v>
      </c>
      <c r="D143" t="e">
        <f t="shared" ca="1" si="13"/>
        <v>#N/A</v>
      </c>
      <c r="E143" t="e">
        <f t="shared" ca="1" si="14"/>
        <v>#N/A</v>
      </c>
      <c r="F143" s="6" t="e">
        <f t="shared" ca="1" si="15"/>
        <v>#N/A</v>
      </c>
      <c r="G143" t="e">
        <f t="shared" ca="1" si="16"/>
        <v>#N/A</v>
      </c>
      <c r="H143" t="e">
        <f t="shared" ca="1" si="17"/>
        <v>#N/A</v>
      </c>
    </row>
    <row r="144" spans="1:8" x14ac:dyDescent="0.2">
      <c r="A144" s="6">
        <v>142</v>
      </c>
      <c r="B144" t="e">
        <f>MATCH($A144,part!$A$1:$A$2001,0)</f>
        <v>#N/A</v>
      </c>
      <c r="C144" t="e">
        <f t="shared" ca="1" si="12"/>
        <v>#N/A</v>
      </c>
      <c r="D144" t="e">
        <f t="shared" ca="1" si="13"/>
        <v>#N/A</v>
      </c>
      <c r="E144" t="e">
        <f t="shared" ca="1" si="14"/>
        <v>#N/A</v>
      </c>
      <c r="F144" s="6" t="e">
        <f t="shared" ca="1" si="15"/>
        <v>#N/A</v>
      </c>
      <c r="G144" t="e">
        <f t="shared" ca="1" si="16"/>
        <v>#N/A</v>
      </c>
      <c r="H144" t="e">
        <f t="shared" ca="1" si="17"/>
        <v>#N/A</v>
      </c>
    </row>
    <row r="145" spans="1:8" x14ac:dyDescent="0.2">
      <c r="A145" s="6">
        <v>143</v>
      </c>
      <c r="B145" t="e">
        <f>MATCH($A145,part!$A$1:$A$2001,0)</f>
        <v>#N/A</v>
      </c>
      <c r="C145" t="e">
        <f t="shared" ca="1" si="12"/>
        <v>#N/A</v>
      </c>
      <c r="D145" t="e">
        <f t="shared" ca="1" si="13"/>
        <v>#N/A</v>
      </c>
      <c r="E145" t="e">
        <f t="shared" ca="1" si="14"/>
        <v>#N/A</v>
      </c>
      <c r="F145" s="6" t="e">
        <f t="shared" ca="1" si="15"/>
        <v>#N/A</v>
      </c>
      <c r="G145" t="e">
        <f t="shared" ca="1" si="16"/>
        <v>#N/A</v>
      </c>
      <c r="H145" t="e">
        <f t="shared" ca="1" si="17"/>
        <v>#N/A</v>
      </c>
    </row>
    <row r="146" spans="1:8" x14ac:dyDescent="0.2">
      <c r="A146" s="6">
        <v>144</v>
      </c>
      <c r="B146" t="e">
        <f>MATCH($A146,part!$A$1:$A$2001,0)</f>
        <v>#N/A</v>
      </c>
      <c r="C146" t="e">
        <f t="shared" ca="1" si="12"/>
        <v>#N/A</v>
      </c>
      <c r="D146" t="e">
        <f t="shared" ca="1" si="13"/>
        <v>#N/A</v>
      </c>
      <c r="E146" t="e">
        <f t="shared" ca="1" si="14"/>
        <v>#N/A</v>
      </c>
      <c r="F146" s="6" t="e">
        <f t="shared" ca="1" si="15"/>
        <v>#N/A</v>
      </c>
      <c r="G146" t="e">
        <f t="shared" ca="1" si="16"/>
        <v>#N/A</v>
      </c>
      <c r="H146" t="e">
        <f t="shared" ca="1" si="17"/>
        <v>#N/A</v>
      </c>
    </row>
    <row r="147" spans="1:8" x14ac:dyDescent="0.2">
      <c r="A147" s="6">
        <v>145</v>
      </c>
      <c r="B147" t="e">
        <f>MATCH($A147,part!$A$1:$A$2001,0)</f>
        <v>#N/A</v>
      </c>
      <c r="C147" t="e">
        <f t="shared" ca="1" si="12"/>
        <v>#N/A</v>
      </c>
      <c r="D147" t="e">
        <f t="shared" ca="1" si="13"/>
        <v>#N/A</v>
      </c>
      <c r="E147" t="e">
        <f t="shared" ca="1" si="14"/>
        <v>#N/A</v>
      </c>
      <c r="F147" s="6" t="e">
        <f t="shared" ca="1" si="15"/>
        <v>#N/A</v>
      </c>
      <c r="G147" t="e">
        <f t="shared" ca="1" si="16"/>
        <v>#N/A</v>
      </c>
      <c r="H147" t="e">
        <f t="shared" ca="1" si="17"/>
        <v>#N/A</v>
      </c>
    </row>
    <row r="148" spans="1:8" x14ac:dyDescent="0.2">
      <c r="A148" s="6">
        <v>146</v>
      </c>
      <c r="B148" t="e">
        <f>MATCH($A148,part!$A$1:$A$2001,0)</f>
        <v>#N/A</v>
      </c>
      <c r="C148" t="e">
        <f t="shared" ca="1" si="12"/>
        <v>#N/A</v>
      </c>
      <c r="D148" t="e">
        <f t="shared" ca="1" si="13"/>
        <v>#N/A</v>
      </c>
      <c r="E148" t="e">
        <f t="shared" ca="1" si="14"/>
        <v>#N/A</v>
      </c>
      <c r="F148" s="6" t="e">
        <f t="shared" ca="1" si="15"/>
        <v>#N/A</v>
      </c>
      <c r="G148" t="e">
        <f t="shared" ca="1" si="16"/>
        <v>#N/A</v>
      </c>
      <c r="H148" t="e">
        <f t="shared" ca="1" si="17"/>
        <v>#N/A</v>
      </c>
    </row>
    <row r="149" spans="1:8" x14ac:dyDescent="0.2">
      <c r="A149" s="6">
        <v>147</v>
      </c>
      <c r="B149" t="e">
        <f>MATCH($A149,part!$A$1:$A$2001,0)</f>
        <v>#N/A</v>
      </c>
      <c r="C149" t="e">
        <f t="shared" ca="1" si="12"/>
        <v>#N/A</v>
      </c>
      <c r="D149" t="e">
        <f t="shared" ca="1" si="13"/>
        <v>#N/A</v>
      </c>
      <c r="E149" t="e">
        <f t="shared" ca="1" si="14"/>
        <v>#N/A</v>
      </c>
      <c r="F149" s="6" t="e">
        <f t="shared" ca="1" si="15"/>
        <v>#N/A</v>
      </c>
      <c r="G149" t="e">
        <f t="shared" ca="1" si="16"/>
        <v>#N/A</v>
      </c>
      <c r="H149" t="e">
        <f t="shared" ca="1" si="17"/>
        <v>#N/A</v>
      </c>
    </row>
    <row r="150" spans="1:8" x14ac:dyDescent="0.2">
      <c r="A150" s="6">
        <v>148</v>
      </c>
      <c r="B150" t="e">
        <f>MATCH($A150,part!$A$1:$A$2001,0)</f>
        <v>#N/A</v>
      </c>
      <c r="C150" t="e">
        <f t="shared" ca="1" si="12"/>
        <v>#N/A</v>
      </c>
      <c r="D150" t="e">
        <f t="shared" ca="1" si="13"/>
        <v>#N/A</v>
      </c>
      <c r="E150" t="e">
        <f t="shared" ca="1" si="14"/>
        <v>#N/A</v>
      </c>
      <c r="F150" s="6" t="e">
        <f t="shared" ca="1" si="15"/>
        <v>#N/A</v>
      </c>
      <c r="G150" t="e">
        <f t="shared" ca="1" si="16"/>
        <v>#N/A</v>
      </c>
      <c r="H150" t="e">
        <f t="shared" ca="1" si="17"/>
        <v>#N/A</v>
      </c>
    </row>
    <row r="151" spans="1:8" x14ac:dyDescent="0.2">
      <c r="A151" s="6">
        <v>149</v>
      </c>
      <c r="B151" t="e">
        <f>MATCH($A151,part!$A$1:$A$2001,0)</f>
        <v>#N/A</v>
      </c>
      <c r="C151" t="e">
        <f t="shared" ca="1" si="12"/>
        <v>#N/A</v>
      </c>
      <c r="D151" t="e">
        <f t="shared" ca="1" si="13"/>
        <v>#N/A</v>
      </c>
      <c r="E151" t="e">
        <f t="shared" ca="1" si="14"/>
        <v>#N/A</v>
      </c>
      <c r="F151" s="6" t="e">
        <f t="shared" ca="1" si="15"/>
        <v>#N/A</v>
      </c>
      <c r="G151" t="e">
        <f t="shared" ca="1" si="16"/>
        <v>#N/A</v>
      </c>
      <c r="H151" t="e">
        <f t="shared" ca="1" si="17"/>
        <v>#N/A</v>
      </c>
    </row>
    <row r="152" spans="1:8" x14ac:dyDescent="0.2">
      <c r="A152" s="6">
        <v>150</v>
      </c>
      <c r="B152" t="e">
        <f>MATCH($A152,part!$A$1:$A$2001,0)</f>
        <v>#N/A</v>
      </c>
      <c r="C152" t="e">
        <f t="shared" ca="1" si="12"/>
        <v>#N/A</v>
      </c>
      <c r="D152" t="e">
        <f t="shared" ca="1" si="13"/>
        <v>#N/A</v>
      </c>
      <c r="E152" t="e">
        <f t="shared" ca="1" si="14"/>
        <v>#N/A</v>
      </c>
      <c r="F152" s="6" t="e">
        <f t="shared" ca="1" si="15"/>
        <v>#N/A</v>
      </c>
      <c r="G152" t="e">
        <f t="shared" ca="1" si="16"/>
        <v>#N/A</v>
      </c>
      <c r="H152" t="e">
        <f t="shared" ca="1" si="17"/>
        <v>#N/A</v>
      </c>
    </row>
    <row r="153" spans="1:8" x14ac:dyDescent="0.2">
      <c r="A153" s="6">
        <v>151</v>
      </c>
      <c r="B153" t="e">
        <f>MATCH($A153,part!$A$1:$A$2001,0)</f>
        <v>#N/A</v>
      </c>
      <c r="C153" t="e">
        <f t="shared" ca="1" si="12"/>
        <v>#N/A</v>
      </c>
      <c r="D153" t="e">
        <f t="shared" ca="1" si="13"/>
        <v>#N/A</v>
      </c>
      <c r="E153" t="e">
        <f t="shared" ca="1" si="14"/>
        <v>#N/A</v>
      </c>
      <c r="F153" s="6" t="e">
        <f t="shared" ca="1" si="15"/>
        <v>#N/A</v>
      </c>
      <c r="G153" t="e">
        <f t="shared" ca="1" si="16"/>
        <v>#N/A</v>
      </c>
      <c r="H153" t="e">
        <f t="shared" ca="1" si="17"/>
        <v>#N/A</v>
      </c>
    </row>
    <row r="154" spans="1:8" x14ac:dyDescent="0.2">
      <c r="A154" s="6">
        <v>152</v>
      </c>
      <c r="B154" t="e">
        <f>MATCH($A154,part!$A$1:$A$2001,0)</f>
        <v>#N/A</v>
      </c>
      <c r="C154" t="e">
        <f t="shared" ca="1" si="12"/>
        <v>#N/A</v>
      </c>
      <c r="D154" t="e">
        <f t="shared" ca="1" si="13"/>
        <v>#N/A</v>
      </c>
      <c r="E154" t="e">
        <f t="shared" ca="1" si="14"/>
        <v>#N/A</v>
      </c>
      <c r="F154" s="6" t="e">
        <f t="shared" ca="1" si="15"/>
        <v>#N/A</v>
      </c>
      <c r="G154" t="e">
        <f t="shared" ca="1" si="16"/>
        <v>#N/A</v>
      </c>
      <c r="H154" t="e">
        <f t="shared" ca="1" si="17"/>
        <v>#N/A</v>
      </c>
    </row>
    <row r="155" spans="1:8" x14ac:dyDescent="0.2">
      <c r="A155" s="6">
        <v>153</v>
      </c>
      <c r="B155" t="e">
        <f>MATCH($A155,part!$A$1:$A$2001,0)</f>
        <v>#N/A</v>
      </c>
      <c r="C155" t="e">
        <f t="shared" ca="1" si="12"/>
        <v>#N/A</v>
      </c>
      <c r="D155" t="e">
        <f t="shared" ca="1" si="13"/>
        <v>#N/A</v>
      </c>
      <c r="E155" t="e">
        <f t="shared" ca="1" si="14"/>
        <v>#N/A</v>
      </c>
      <c r="F155" s="6" t="e">
        <f t="shared" ca="1" si="15"/>
        <v>#N/A</v>
      </c>
      <c r="G155" t="e">
        <f t="shared" ca="1" si="16"/>
        <v>#N/A</v>
      </c>
      <c r="H155" t="e">
        <f t="shared" ca="1" si="17"/>
        <v>#N/A</v>
      </c>
    </row>
    <row r="156" spans="1:8" x14ac:dyDescent="0.2">
      <c r="A156" s="6">
        <v>154</v>
      </c>
      <c r="B156" t="e">
        <f>MATCH($A156,part!$A$1:$A$2001,0)</f>
        <v>#N/A</v>
      </c>
      <c r="C156" t="e">
        <f t="shared" ca="1" si="12"/>
        <v>#N/A</v>
      </c>
      <c r="D156" t="e">
        <f t="shared" ca="1" si="13"/>
        <v>#N/A</v>
      </c>
      <c r="E156" t="e">
        <f t="shared" ca="1" si="14"/>
        <v>#N/A</v>
      </c>
      <c r="F156" s="6" t="e">
        <f t="shared" ca="1" si="15"/>
        <v>#N/A</v>
      </c>
      <c r="G156" t="e">
        <f t="shared" ca="1" si="16"/>
        <v>#N/A</v>
      </c>
      <c r="H156" t="e">
        <f t="shared" ca="1" si="17"/>
        <v>#N/A</v>
      </c>
    </row>
    <row r="157" spans="1:8" x14ac:dyDescent="0.2">
      <c r="A157" s="6">
        <v>155</v>
      </c>
      <c r="B157" t="e">
        <f>MATCH($A157,part!$A$1:$A$2001,0)</f>
        <v>#N/A</v>
      </c>
      <c r="C157" t="e">
        <f t="shared" ca="1" si="12"/>
        <v>#N/A</v>
      </c>
      <c r="D157" t="e">
        <f t="shared" ca="1" si="13"/>
        <v>#N/A</v>
      </c>
      <c r="E157" t="e">
        <f t="shared" ca="1" si="14"/>
        <v>#N/A</v>
      </c>
      <c r="F157" s="6" t="e">
        <f t="shared" ca="1" si="15"/>
        <v>#N/A</v>
      </c>
      <c r="G157" t="e">
        <f t="shared" ca="1" si="16"/>
        <v>#N/A</v>
      </c>
      <c r="H157" t="e">
        <f t="shared" ca="1" si="17"/>
        <v>#N/A</v>
      </c>
    </row>
    <row r="158" spans="1:8" x14ac:dyDescent="0.2">
      <c r="A158" s="6">
        <v>156</v>
      </c>
      <c r="B158" t="e">
        <f>MATCH($A158,part!$A$1:$A$2001,0)</f>
        <v>#N/A</v>
      </c>
      <c r="C158" t="e">
        <f t="shared" ca="1" si="12"/>
        <v>#N/A</v>
      </c>
      <c r="D158" t="e">
        <f t="shared" ca="1" si="13"/>
        <v>#N/A</v>
      </c>
      <c r="E158" t="e">
        <f t="shared" ca="1" si="14"/>
        <v>#N/A</v>
      </c>
      <c r="F158" s="6" t="e">
        <f t="shared" ca="1" si="15"/>
        <v>#N/A</v>
      </c>
      <c r="G158" t="e">
        <f t="shared" ca="1" si="16"/>
        <v>#N/A</v>
      </c>
      <c r="H158" t="e">
        <f t="shared" ca="1" si="17"/>
        <v>#N/A</v>
      </c>
    </row>
    <row r="159" spans="1:8" x14ac:dyDescent="0.2">
      <c r="A159" s="6">
        <v>157</v>
      </c>
      <c r="B159" t="e">
        <f>MATCH($A159,part!$A$1:$A$2001,0)</f>
        <v>#N/A</v>
      </c>
      <c r="C159" t="e">
        <f t="shared" ca="1" si="12"/>
        <v>#N/A</v>
      </c>
      <c r="D159" t="e">
        <f t="shared" ca="1" si="13"/>
        <v>#N/A</v>
      </c>
      <c r="E159" t="e">
        <f t="shared" ca="1" si="14"/>
        <v>#N/A</v>
      </c>
      <c r="F159" s="6" t="e">
        <f t="shared" ca="1" si="15"/>
        <v>#N/A</v>
      </c>
      <c r="G159" t="e">
        <f t="shared" ca="1" si="16"/>
        <v>#N/A</v>
      </c>
      <c r="H159" t="e">
        <f t="shared" ca="1" si="17"/>
        <v>#N/A</v>
      </c>
    </row>
    <row r="160" spans="1:8" x14ac:dyDescent="0.2">
      <c r="A160" s="6">
        <v>158</v>
      </c>
      <c r="B160" t="e">
        <f>MATCH($A160,part!$A$1:$A$2001,0)</f>
        <v>#N/A</v>
      </c>
      <c r="C160" t="e">
        <f t="shared" ca="1" si="12"/>
        <v>#N/A</v>
      </c>
      <c r="D160" t="e">
        <f t="shared" ca="1" si="13"/>
        <v>#N/A</v>
      </c>
      <c r="E160" t="e">
        <f t="shared" ca="1" si="14"/>
        <v>#N/A</v>
      </c>
      <c r="F160" s="6" t="e">
        <f t="shared" ca="1" si="15"/>
        <v>#N/A</v>
      </c>
      <c r="G160" t="e">
        <f t="shared" ca="1" si="16"/>
        <v>#N/A</v>
      </c>
      <c r="H160" t="e">
        <f t="shared" ca="1" si="17"/>
        <v>#N/A</v>
      </c>
    </row>
    <row r="161" spans="1:8" x14ac:dyDescent="0.2">
      <c r="A161" s="6">
        <v>159</v>
      </c>
      <c r="B161" t="e">
        <f>MATCH($A161,part!$A$1:$A$2001,0)</f>
        <v>#N/A</v>
      </c>
      <c r="C161" t="e">
        <f t="shared" ca="1" si="12"/>
        <v>#N/A</v>
      </c>
      <c r="D161" t="e">
        <f t="shared" ca="1" si="13"/>
        <v>#N/A</v>
      </c>
      <c r="E161" t="e">
        <f t="shared" ca="1" si="14"/>
        <v>#N/A</v>
      </c>
      <c r="F161" s="6" t="e">
        <f t="shared" ca="1" si="15"/>
        <v>#N/A</v>
      </c>
      <c r="G161" t="e">
        <f t="shared" ca="1" si="16"/>
        <v>#N/A</v>
      </c>
      <c r="H161" t="e">
        <f t="shared" ca="1" si="17"/>
        <v>#N/A</v>
      </c>
    </row>
    <row r="162" spans="1:8" x14ac:dyDescent="0.2">
      <c r="A162" s="6">
        <v>160</v>
      </c>
      <c r="B162" t="e">
        <f>MATCH($A162,part!$A$1:$A$2001,0)</f>
        <v>#N/A</v>
      </c>
      <c r="C162" t="e">
        <f t="shared" ca="1" si="12"/>
        <v>#N/A</v>
      </c>
      <c r="D162" t="e">
        <f t="shared" ca="1" si="13"/>
        <v>#N/A</v>
      </c>
      <c r="E162" t="e">
        <f t="shared" ca="1" si="14"/>
        <v>#N/A</v>
      </c>
      <c r="F162" s="6" t="e">
        <f t="shared" ca="1" si="15"/>
        <v>#N/A</v>
      </c>
      <c r="G162" t="e">
        <f t="shared" ca="1" si="16"/>
        <v>#N/A</v>
      </c>
      <c r="H162" t="e">
        <f t="shared" ca="1" si="17"/>
        <v>#N/A</v>
      </c>
    </row>
    <row r="163" spans="1:8" x14ac:dyDescent="0.2">
      <c r="A163" s="6">
        <v>161</v>
      </c>
      <c r="B163" t="e">
        <f>MATCH($A163,part!$A$1:$A$2001,0)</f>
        <v>#N/A</v>
      </c>
      <c r="C163" t="e">
        <f t="shared" ca="1" si="12"/>
        <v>#N/A</v>
      </c>
      <c r="D163" t="e">
        <f t="shared" ca="1" si="13"/>
        <v>#N/A</v>
      </c>
      <c r="E163" t="e">
        <f t="shared" ca="1" si="14"/>
        <v>#N/A</v>
      </c>
      <c r="F163" s="6" t="e">
        <f t="shared" ca="1" si="15"/>
        <v>#N/A</v>
      </c>
      <c r="G163" t="e">
        <f t="shared" ca="1" si="16"/>
        <v>#N/A</v>
      </c>
      <c r="H163" t="e">
        <f t="shared" ca="1" si="17"/>
        <v>#N/A</v>
      </c>
    </row>
    <row r="164" spans="1:8" x14ac:dyDescent="0.2">
      <c r="A164" s="6">
        <v>162</v>
      </c>
      <c r="B164" t="e">
        <f>MATCH($A164,part!$A$1:$A$2001,0)</f>
        <v>#N/A</v>
      </c>
      <c r="C164" t="e">
        <f t="shared" ca="1" si="12"/>
        <v>#N/A</v>
      </c>
      <c r="D164" t="e">
        <f t="shared" ca="1" si="13"/>
        <v>#N/A</v>
      </c>
      <c r="E164" t="e">
        <f t="shared" ca="1" si="14"/>
        <v>#N/A</v>
      </c>
      <c r="F164" s="6" t="e">
        <f t="shared" ca="1" si="15"/>
        <v>#N/A</v>
      </c>
      <c r="G164" t="e">
        <f t="shared" ca="1" si="16"/>
        <v>#N/A</v>
      </c>
      <c r="H164" t="e">
        <f t="shared" ca="1" si="17"/>
        <v>#N/A</v>
      </c>
    </row>
    <row r="165" spans="1:8" x14ac:dyDescent="0.2">
      <c r="A165" s="6">
        <v>163</v>
      </c>
      <c r="B165" t="e">
        <f>MATCH($A165,part!$A$1:$A$2001,0)</f>
        <v>#N/A</v>
      </c>
      <c r="C165" t="e">
        <f t="shared" ca="1" si="12"/>
        <v>#N/A</v>
      </c>
      <c r="D165" t="e">
        <f t="shared" ca="1" si="13"/>
        <v>#N/A</v>
      </c>
      <c r="E165" t="e">
        <f t="shared" ca="1" si="14"/>
        <v>#N/A</v>
      </c>
      <c r="F165" s="6" t="e">
        <f t="shared" ca="1" si="15"/>
        <v>#N/A</v>
      </c>
      <c r="G165" t="e">
        <f t="shared" ca="1" si="16"/>
        <v>#N/A</v>
      </c>
      <c r="H165" t="e">
        <f t="shared" ca="1" si="17"/>
        <v>#N/A</v>
      </c>
    </row>
    <row r="166" spans="1:8" x14ac:dyDescent="0.2">
      <c r="A166" s="6">
        <v>164</v>
      </c>
      <c r="B166" t="e">
        <f>MATCH($A166,part!$A$1:$A$2001,0)</f>
        <v>#N/A</v>
      </c>
      <c r="C166" t="e">
        <f t="shared" ca="1" si="12"/>
        <v>#N/A</v>
      </c>
      <c r="D166" t="e">
        <f t="shared" ca="1" si="13"/>
        <v>#N/A</v>
      </c>
      <c r="E166" t="e">
        <f t="shared" ca="1" si="14"/>
        <v>#N/A</v>
      </c>
      <c r="F166" s="6" t="e">
        <f t="shared" ca="1" si="15"/>
        <v>#N/A</v>
      </c>
      <c r="G166" t="e">
        <f t="shared" ca="1" si="16"/>
        <v>#N/A</v>
      </c>
      <c r="H166" t="e">
        <f t="shared" ca="1" si="17"/>
        <v>#N/A</v>
      </c>
    </row>
    <row r="167" spans="1:8" x14ac:dyDescent="0.2">
      <c r="A167" s="6">
        <v>165</v>
      </c>
      <c r="B167" t="e">
        <f>MATCH($A167,part!$A$1:$A$2001,0)</f>
        <v>#N/A</v>
      </c>
      <c r="C167" t="e">
        <f t="shared" ca="1" si="12"/>
        <v>#N/A</v>
      </c>
      <c r="D167" t="e">
        <f t="shared" ca="1" si="13"/>
        <v>#N/A</v>
      </c>
      <c r="E167" t="e">
        <f t="shared" ca="1" si="14"/>
        <v>#N/A</v>
      </c>
      <c r="F167" s="6" t="e">
        <f t="shared" ca="1" si="15"/>
        <v>#N/A</v>
      </c>
      <c r="G167" t="e">
        <f t="shared" ca="1" si="16"/>
        <v>#N/A</v>
      </c>
      <c r="H167" t="e">
        <f t="shared" ca="1" si="17"/>
        <v>#N/A</v>
      </c>
    </row>
    <row r="168" spans="1:8" x14ac:dyDescent="0.2">
      <c r="A168" s="6">
        <v>166</v>
      </c>
      <c r="B168" t="e">
        <f>MATCH($A168,part!$A$1:$A$2001,0)</f>
        <v>#N/A</v>
      </c>
      <c r="C168" t="e">
        <f t="shared" ca="1" si="12"/>
        <v>#N/A</v>
      </c>
      <c r="D168" t="e">
        <f t="shared" ca="1" si="13"/>
        <v>#N/A</v>
      </c>
      <c r="E168" t="e">
        <f t="shared" ca="1" si="14"/>
        <v>#N/A</v>
      </c>
      <c r="F168" s="6" t="e">
        <f t="shared" ca="1" si="15"/>
        <v>#N/A</v>
      </c>
      <c r="G168" t="e">
        <f t="shared" ca="1" si="16"/>
        <v>#N/A</v>
      </c>
      <c r="H168" t="e">
        <f t="shared" ca="1" si="17"/>
        <v>#N/A</v>
      </c>
    </row>
    <row r="169" spans="1:8" x14ac:dyDescent="0.2">
      <c r="A169" s="6">
        <v>167</v>
      </c>
      <c r="B169" t="e">
        <f>MATCH($A169,part!$A$1:$A$2001,0)</f>
        <v>#N/A</v>
      </c>
      <c r="C169" t="e">
        <f t="shared" ca="1" si="12"/>
        <v>#N/A</v>
      </c>
      <c r="D169" t="e">
        <f t="shared" ca="1" si="13"/>
        <v>#N/A</v>
      </c>
      <c r="E169" t="e">
        <f t="shared" ca="1" si="14"/>
        <v>#N/A</v>
      </c>
      <c r="F169" s="6" t="e">
        <f t="shared" ca="1" si="15"/>
        <v>#N/A</v>
      </c>
      <c r="G169" t="e">
        <f t="shared" ca="1" si="16"/>
        <v>#N/A</v>
      </c>
      <c r="H169" t="e">
        <f t="shared" ca="1" si="17"/>
        <v>#N/A</v>
      </c>
    </row>
    <row r="170" spans="1:8" x14ac:dyDescent="0.2">
      <c r="A170" s="6">
        <v>168</v>
      </c>
      <c r="B170" t="e">
        <f>MATCH($A170,part!$A$1:$A$2001,0)</f>
        <v>#N/A</v>
      </c>
      <c r="C170" t="e">
        <f t="shared" ca="1" si="12"/>
        <v>#N/A</v>
      </c>
      <c r="D170" t="e">
        <f t="shared" ca="1" si="13"/>
        <v>#N/A</v>
      </c>
      <c r="E170" t="e">
        <f t="shared" ca="1" si="14"/>
        <v>#N/A</v>
      </c>
      <c r="F170" s="6" t="e">
        <f t="shared" ca="1" si="15"/>
        <v>#N/A</v>
      </c>
      <c r="G170" t="e">
        <f t="shared" ca="1" si="16"/>
        <v>#N/A</v>
      </c>
      <c r="H170" t="e">
        <f t="shared" ca="1" si="17"/>
        <v>#N/A</v>
      </c>
    </row>
    <row r="171" spans="1:8" x14ac:dyDescent="0.2">
      <c r="A171" s="6">
        <v>169</v>
      </c>
      <c r="B171" t="e">
        <f>MATCH($A171,part!$A$1:$A$2001,0)</f>
        <v>#N/A</v>
      </c>
      <c r="C171" t="e">
        <f t="shared" ca="1" si="12"/>
        <v>#N/A</v>
      </c>
      <c r="D171" t="e">
        <f t="shared" ca="1" si="13"/>
        <v>#N/A</v>
      </c>
      <c r="E171" t="e">
        <f t="shared" ca="1" si="14"/>
        <v>#N/A</v>
      </c>
      <c r="F171" s="6" t="e">
        <f t="shared" ca="1" si="15"/>
        <v>#N/A</v>
      </c>
      <c r="G171" t="e">
        <f t="shared" ca="1" si="16"/>
        <v>#N/A</v>
      </c>
      <c r="H171" t="e">
        <f t="shared" ca="1" si="17"/>
        <v>#N/A</v>
      </c>
    </row>
    <row r="172" spans="1:8" x14ac:dyDescent="0.2">
      <c r="A172" s="6">
        <v>170</v>
      </c>
      <c r="B172" t="e">
        <f>MATCH($A172,part!$A$1:$A$2001,0)</f>
        <v>#N/A</v>
      </c>
      <c r="C172" t="e">
        <f t="shared" ca="1" si="12"/>
        <v>#N/A</v>
      </c>
      <c r="D172" t="e">
        <f t="shared" ca="1" si="13"/>
        <v>#N/A</v>
      </c>
      <c r="E172" t="e">
        <f t="shared" ca="1" si="14"/>
        <v>#N/A</v>
      </c>
      <c r="F172" s="6" t="e">
        <f t="shared" ca="1" si="15"/>
        <v>#N/A</v>
      </c>
      <c r="G172" t="e">
        <f t="shared" ca="1" si="16"/>
        <v>#N/A</v>
      </c>
      <c r="H172" t="e">
        <f t="shared" ca="1" si="17"/>
        <v>#N/A</v>
      </c>
    </row>
    <row r="173" spans="1:8" x14ac:dyDescent="0.2">
      <c r="A173" s="6">
        <v>171</v>
      </c>
      <c r="B173" t="e">
        <f>MATCH($A173,part!$A$1:$A$2001,0)</f>
        <v>#N/A</v>
      </c>
      <c r="C173" t="e">
        <f t="shared" ca="1" si="12"/>
        <v>#N/A</v>
      </c>
      <c r="D173" t="e">
        <f t="shared" ca="1" si="13"/>
        <v>#N/A</v>
      </c>
      <c r="E173" t="e">
        <f t="shared" ca="1" si="14"/>
        <v>#N/A</v>
      </c>
      <c r="F173" s="6" t="e">
        <f t="shared" ca="1" si="15"/>
        <v>#N/A</v>
      </c>
      <c r="G173" t="e">
        <f t="shared" ca="1" si="16"/>
        <v>#N/A</v>
      </c>
      <c r="H173" t="e">
        <f t="shared" ca="1" si="17"/>
        <v>#N/A</v>
      </c>
    </row>
    <row r="174" spans="1:8" x14ac:dyDescent="0.2">
      <c r="A174" s="6">
        <v>172</v>
      </c>
      <c r="B174" t="e">
        <f>MATCH($A174,part!$A$1:$A$2001,0)</f>
        <v>#N/A</v>
      </c>
      <c r="C174" t="e">
        <f t="shared" ca="1" si="12"/>
        <v>#N/A</v>
      </c>
      <c r="D174" t="e">
        <f t="shared" ca="1" si="13"/>
        <v>#N/A</v>
      </c>
      <c r="E174" t="e">
        <f t="shared" ca="1" si="14"/>
        <v>#N/A</v>
      </c>
      <c r="F174" s="6" t="e">
        <f t="shared" ca="1" si="15"/>
        <v>#N/A</v>
      </c>
      <c r="G174" t="e">
        <f t="shared" ca="1" si="16"/>
        <v>#N/A</v>
      </c>
      <c r="H174" t="e">
        <f t="shared" ca="1" si="17"/>
        <v>#N/A</v>
      </c>
    </row>
    <row r="175" spans="1:8" x14ac:dyDescent="0.2">
      <c r="A175" s="6">
        <v>173</v>
      </c>
      <c r="B175" t="e">
        <f>MATCH($A175,part!$A$1:$A$2001,0)</f>
        <v>#N/A</v>
      </c>
      <c r="C175" t="e">
        <f t="shared" ca="1" si="12"/>
        <v>#N/A</v>
      </c>
      <c r="D175" t="e">
        <f t="shared" ca="1" si="13"/>
        <v>#N/A</v>
      </c>
      <c r="E175" t="e">
        <f t="shared" ca="1" si="14"/>
        <v>#N/A</v>
      </c>
      <c r="F175" s="6" t="e">
        <f t="shared" ca="1" si="15"/>
        <v>#N/A</v>
      </c>
      <c r="G175" t="e">
        <f t="shared" ca="1" si="16"/>
        <v>#N/A</v>
      </c>
      <c r="H175" t="e">
        <f t="shared" ca="1" si="17"/>
        <v>#N/A</v>
      </c>
    </row>
    <row r="176" spans="1:8" x14ac:dyDescent="0.2">
      <c r="A176" s="6">
        <v>174</v>
      </c>
      <c r="B176" t="e">
        <f>MATCH($A176,part!$A$1:$A$2001,0)</f>
        <v>#N/A</v>
      </c>
      <c r="C176" t="e">
        <f t="shared" ca="1" si="12"/>
        <v>#N/A</v>
      </c>
      <c r="D176" t="e">
        <f t="shared" ca="1" si="13"/>
        <v>#N/A</v>
      </c>
      <c r="E176" t="e">
        <f t="shared" ca="1" si="14"/>
        <v>#N/A</v>
      </c>
      <c r="F176" s="6" t="e">
        <f t="shared" ca="1" si="15"/>
        <v>#N/A</v>
      </c>
      <c r="G176" t="e">
        <f t="shared" ca="1" si="16"/>
        <v>#N/A</v>
      </c>
      <c r="H176" t="e">
        <f t="shared" ca="1" si="17"/>
        <v>#N/A</v>
      </c>
    </row>
    <row r="177" spans="1:8" x14ac:dyDescent="0.2">
      <c r="A177" s="6">
        <v>175</v>
      </c>
      <c r="B177" t="e">
        <f>MATCH($A177,part!$A$1:$A$2001,0)</f>
        <v>#N/A</v>
      </c>
      <c r="C177" t="e">
        <f t="shared" ca="1" si="12"/>
        <v>#N/A</v>
      </c>
      <c r="D177" t="e">
        <f t="shared" ca="1" si="13"/>
        <v>#N/A</v>
      </c>
      <c r="E177" t="e">
        <f t="shared" ca="1" si="14"/>
        <v>#N/A</v>
      </c>
      <c r="F177" s="6" t="e">
        <f t="shared" ca="1" si="15"/>
        <v>#N/A</v>
      </c>
      <c r="G177" t="e">
        <f t="shared" ca="1" si="16"/>
        <v>#N/A</v>
      </c>
      <c r="H177" t="e">
        <f t="shared" ca="1" si="17"/>
        <v>#N/A</v>
      </c>
    </row>
    <row r="178" spans="1:8" x14ac:dyDescent="0.2">
      <c r="A178" s="6">
        <v>176</v>
      </c>
      <c r="B178" t="e">
        <f>MATCH($A178,part!$A$1:$A$2001,0)</f>
        <v>#N/A</v>
      </c>
      <c r="C178" t="e">
        <f t="shared" ca="1" si="12"/>
        <v>#N/A</v>
      </c>
      <c r="D178" t="e">
        <f t="shared" ca="1" si="13"/>
        <v>#N/A</v>
      </c>
      <c r="E178" t="e">
        <f t="shared" ca="1" si="14"/>
        <v>#N/A</v>
      </c>
      <c r="F178" s="6" t="e">
        <f t="shared" ca="1" si="15"/>
        <v>#N/A</v>
      </c>
      <c r="G178" t="e">
        <f t="shared" ca="1" si="16"/>
        <v>#N/A</v>
      </c>
      <c r="H178" t="e">
        <f t="shared" ca="1" si="17"/>
        <v>#N/A</v>
      </c>
    </row>
    <row r="179" spans="1:8" x14ac:dyDescent="0.2">
      <c r="A179" s="6">
        <v>177</v>
      </c>
      <c r="B179" t="e">
        <f>MATCH($A179,part!$A$1:$A$2001,0)</f>
        <v>#N/A</v>
      </c>
      <c r="C179" t="e">
        <f t="shared" ca="1" si="12"/>
        <v>#N/A</v>
      </c>
      <c r="D179" t="e">
        <f t="shared" ca="1" si="13"/>
        <v>#N/A</v>
      </c>
      <c r="E179" t="e">
        <f t="shared" ca="1" si="14"/>
        <v>#N/A</v>
      </c>
      <c r="F179" s="6" t="e">
        <f t="shared" ca="1" si="15"/>
        <v>#N/A</v>
      </c>
      <c r="G179" t="e">
        <f t="shared" ca="1" si="16"/>
        <v>#N/A</v>
      </c>
      <c r="H179" t="e">
        <f t="shared" ca="1" si="17"/>
        <v>#N/A</v>
      </c>
    </row>
    <row r="180" spans="1:8" x14ac:dyDescent="0.2">
      <c r="A180" s="6">
        <v>178</v>
      </c>
      <c r="B180" t="e">
        <f>MATCH($A180,part!$A$1:$A$2001,0)</f>
        <v>#N/A</v>
      </c>
      <c r="C180" t="e">
        <f t="shared" ca="1" si="12"/>
        <v>#N/A</v>
      </c>
      <c r="D180" t="e">
        <f t="shared" ca="1" si="13"/>
        <v>#N/A</v>
      </c>
      <c r="E180" t="e">
        <f t="shared" ca="1" si="14"/>
        <v>#N/A</v>
      </c>
      <c r="F180" s="6" t="e">
        <f t="shared" ca="1" si="15"/>
        <v>#N/A</v>
      </c>
      <c r="G180" t="e">
        <f t="shared" ca="1" si="16"/>
        <v>#N/A</v>
      </c>
      <c r="H180" t="e">
        <f t="shared" ca="1" si="17"/>
        <v>#N/A</v>
      </c>
    </row>
    <row r="181" spans="1:8" x14ac:dyDescent="0.2">
      <c r="A181" s="6">
        <v>179</v>
      </c>
      <c r="B181" t="e">
        <f>MATCH($A181,part!$A$1:$A$2001,0)</f>
        <v>#N/A</v>
      </c>
      <c r="C181" t="e">
        <f t="shared" ca="1" si="12"/>
        <v>#N/A</v>
      </c>
      <c r="D181" t="e">
        <f t="shared" ca="1" si="13"/>
        <v>#N/A</v>
      </c>
      <c r="E181" t="e">
        <f t="shared" ca="1" si="14"/>
        <v>#N/A</v>
      </c>
      <c r="F181" s="6" t="e">
        <f t="shared" ca="1" si="15"/>
        <v>#N/A</v>
      </c>
      <c r="G181" t="e">
        <f t="shared" ca="1" si="16"/>
        <v>#N/A</v>
      </c>
      <c r="H181" t="e">
        <f t="shared" ca="1" si="17"/>
        <v>#N/A</v>
      </c>
    </row>
    <row r="182" spans="1:8" x14ac:dyDescent="0.2">
      <c r="A182" s="6">
        <v>180</v>
      </c>
      <c r="B182" t="e">
        <f>MATCH($A182,part!$A$1:$A$2001,0)</f>
        <v>#N/A</v>
      </c>
      <c r="C182" t="e">
        <f t="shared" ca="1" si="12"/>
        <v>#N/A</v>
      </c>
      <c r="D182" t="e">
        <f t="shared" ca="1" si="13"/>
        <v>#N/A</v>
      </c>
      <c r="E182" t="e">
        <f t="shared" ca="1" si="14"/>
        <v>#N/A</v>
      </c>
      <c r="F182" s="6" t="e">
        <f t="shared" ca="1" si="15"/>
        <v>#N/A</v>
      </c>
      <c r="G182" t="e">
        <f t="shared" ca="1" si="16"/>
        <v>#N/A</v>
      </c>
      <c r="H182" t="e">
        <f t="shared" ca="1" si="17"/>
        <v>#N/A</v>
      </c>
    </row>
    <row r="183" spans="1:8" x14ac:dyDescent="0.2">
      <c r="A183" s="6">
        <v>181</v>
      </c>
      <c r="B183" t="e">
        <f>MATCH($A183,part!$A$1:$A$2001,0)</f>
        <v>#N/A</v>
      </c>
      <c r="C183" t="e">
        <f t="shared" ca="1" si="12"/>
        <v>#N/A</v>
      </c>
      <c r="D183" t="e">
        <f t="shared" ca="1" si="13"/>
        <v>#N/A</v>
      </c>
      <c r="E183" t="e">
        <f t="shared" ca="1" si="14"/>
        <v>#N/A</v>
      </c>
      <c r="F183" s="6" t="e">
        <f t="shared" ca="1" si="15"/>
        <v>#N/A</v>
      </c>
      <c r="G183" t="e">
        <f t="shared" ca="1" si="16"/>
        <v>#N/A</v>
      </c>
      <c r="H183" t="e">
        <f t="shared" ca="1" si="17"/>
        <v>#N/A</v>
      </c>
    </row>
    <row r="184" spans="1:8" x14ac:dyDescent="0.2">
      <c r="A184" s="6">
        <v>182</v>
      </c>
      <c r="B184" t="e">
        <f>MATCH($A184,part!$A$1:$A$2001,0)</f>
        <v>#N/A</v>
      </c>
      <c r="C184" t="e">
        <f t="shared" ca="1" si="12"/>
        <v>#N/A</v>
      </c>
      <c r="D184" t="e">
        <f t="shared" ca="1" si="13"/>
        <v>#N/A</v>
      </c>
      <c r="E184" t="e">
        <f t="shared" ca="1" si="14"/>
        <v>#N/A</v>
      </c>
      <c r="F184" s="6" t="e">
        <f t="shared" ca="1" si="15"/>
        <v>#N/A</v>
      </c>
      <c r="G184" t="e">
        <f t="shared" ca="1" si="16"/>
        <v>#N/A</v>
      </c>
      <c r="H184" t="e">
        <f t="shared" ca="1" si="17"/>
        <v>#N/A</v>
      </c>
    </row>
    <row r="185" spans="1:8" x14ac:dyDescent="0.2">
      <c r="A185" s="6">
        <v>183</v>
      </c>
      <c r="B185" t="e">
        <f>MATCH($A185,part!$A$1:$A$2001,0)</f>
        <v>#N/A</v>
      </c>
      <c r="C185" t="e">
        <f t="shared" ca="1" si="12"/>
        <v>#N/A</v>
      </c>
      <c r="D185" t="e">
        <f t="shared" ca="1" si="13"/>
        <v>#N/A</v>
      </c>
      <c r="E185" t="e">
        <f t="shared" ca="1" si="14"/>
        <v>#N/A</v>
      </c>
      <c r="F185" s="6" t="e">
        <f t="shared" ca="1" si="15"/>
        <v>#N/A</v>
      </c>
      <c r="G185" t="e">
        <f t="shared" ca="1" si="16"/>
        <v>#N/A</v>
      </c>
      <c r="H185" t="e">
        <f t="shared" ca="1" si="17"/>
        <v>#N/A</v>
      </c>
    </row>
    <row r="186" spans="1:8" x14ac:dyDescent="0.2">
      <c r="A186" s="6">
        <v>184</v>
      </c>
      <c r="B186" t="e">
        <f>MATCH($A186,part!$A$1:$A$2001,0)</f>
        <v>#N/A</v>
      </c>
      <c r="C186" t="e">
        <f t="shared" ca="1" si="12"/>
        <v>#N/A</v>
      </c>
      <c r="D186" t="e">
        <f t="shared" ca="1" si="13"/>
        <v>#N/A</v>
      </c>
      <c r="E186" t="e">
        <f t="shared" ca="1" si="14"/>
        <v>#N/A</v>
      </c>
      <c r="F186" s="6" t="e">
        <f t="shared" ca="1" si="15"/>
        <v>#N/A</v>
      </c>
      <c r="G186" t="e">
        <f t="shared" ca="1" si="16"/>
        <v>#N/A</v>
      </c>
      <c r="H186" t="e">
        <f t="shared" ca="1" si="17"/>
        <v>#N/A</v>
      </c>
    </row>
    <row r="187" spans="1:8" x14ac:dyDescent="0.2">
      <c r="A187" s="6">
        <v>185</v>
      </c>
      <c r="B187" t="e">
        <f>MATCH($A187,part!$A$1:$A$2001,0)</f>
        <v>#N/A</v>
      </c>
      <c r="C187" t="e">
        <f t="shared" ca="1" si="12"/>
        <v>#N/A</v>
      </c>
      <c r="D187" t="e">
        <f t="shared" ca="1" si="13"/>
        <v>#N/A</v>
      </c>
      <c r="E187" t="e">
        <f t="shared" ca="1" si="14"/>
        <v>#N/A</v>
      </c>
      <c r="F187" s="6" t="e">
        <f t="shared" ca="1" si="15"/>
        <v>#N/A</v>
      </c>
      <c r="G187" t="e">
        <f t="shared" ca="1" si="16"/>
        <v>#N/A</v>
      </c>
      <c r="H187" t="e">
        <f t="shared" ca="1" si="17"/>
        <v>#N/A</v>
      </c>
    </row>
    <row r="188" spans="1:8" x14ac:dyDescent="0.2">
      <c r="A188" s="6">
        <v>186</v>
      </c>
      <c r="B188" t="e">
        <f>MATCH($A188,part!$A$1:$A$2001,0)</f>
        <v>#N/A</v>
      </c>
      <c r="C188" t="e">
        <f t="shared" ca="1" si="12"/>
        <v>#N/A</v>
      </c>
      <c r="D188" t="e">
        <f t="shared" ca="1" si="13"/>
        <v>#N/A</v>
      </c>
      <c r="E188" t="e">
        <f t="shared" ca="1" si="14"/>
        <v>#N/A</v>
      </c>
      <c r="F188" s="6" t="e">
        <f t="shared" ca="1" si="15"/>
        <v>#N/A</v>
      </c>
      <c r="G188" t="e">
        <f t="shared" ca="1" si="16"/>
        <v>#N/A</v>
      </c>
      <c r="H188" t="e">
        <f t="shared" ca="1" si="17"/>
        <v>#N/A</v>
      </c>
    </row>
    <row r="189" spans="1:8" x14ac:dyDescent="0.2">
      <c r="A189" s="6">
        <v>187</v>
      </c>
      <c r="B189" t="e">
        <f>MATCH($A189,part!$A$1:$A$2001,0)</f>
        <v>#N/A</v>
      </c>
      <c r="C189" t="e">
        <f t="shared" ca="1" si="12"/>
        <v>#N/A</v>
      </c>
      <c r="D189" t="e">
        <f t="shared" ca="1" si="13"/>
        <v>#N/A</v>
      </c>
      <c r="E189" t="e">
        <f t="shared" ca="1" si="14"/>
        <v>#N/A</v>
      </c>
      <c r="F189" s="6" t="e">
        <f t="shared" ca="1" si="15"/>
        <v>#N/A</v>
      </c>
      <c r="G189" t="e">
        <f t="shared" ca="1" si="16"/>
        <v>#N/A</v>
      </c>
      <c r="H189" t="e">
        <f t="shared" ca="1" si="17"/>
        <v>#N/A</v>
      </c>
    </row>
    <row r="190" spans="1:8" x14ac:dyDescent="0.2">
      <c r="A190" s="6">
        <v>188</v>
      </c>
      <c r="B190" t="e">
        <f>MATCH($A190,part!$A$1:$A$2001,0)</f>
        <v>#N/A</v>
      </c>
      <c r="C190" t="e">
        <f t="shared" ca="1" si="12"/>
        <v>#N/A</v>
      </c>
      <c r="D190" t="e">
        <f t="shared" ca="1" si="13"/>
        <v>#N/A</v>
      </c>
      <c r="E190" t="e">
        <f t="shared" ca="1" si="14"/>
        <v>#N/A</v>
      </c>
      <c r="F190" s="6" t="e">
        <f t="shared" ca="1" si="15"/>
        <v>#N/A</v>
      </c>
      <c r="G190" t="e">
        <f t="shared" ca="1" si="16"/>
        <v>#N/A</v>
      </c>
      <c r="H190" t="e">
        <f t="shared" ca="1" si="17"/>
        <v>#N/A</v>
      </c>
    </row>
    <row r="191" spans="1:8" x14ac:dyDescent="0.2">
      <c r="A191" s="6">
        <v>189</v>
      </c>
      <c r="B191" t="e">
        <f>MATCH($A191,part!$A$1:$A$2001,0)</f>
        <v>#N/A</v>
      </c>
      <c r="C191" t="e">
        <f t="shared" ca="1" si="12"/>
        <v>#N/A</v>
      </c>
      <c r="D191" t="e">
        <f t="shared" ca="1" si="13"/>
        <v>#N/A</v>
      </c>
      <c r="E191" t="e">
        <f t="shared" ca="1" si="14"/>
        <v>#N/A</v>
      </c>
      <c r="F191" s="6" t="e">
        <f t="shared" ca="1" si="15"/>
        <v>#N/A</v>
      </c>
      <c r="G191" t="e">
        <f t="shared" ca="1" si="16"/>
        <v>#N/A</v>
      </c>
      <c r="H191" t="e">
        <f t="shared" ca="1" si="17"/>
        <v>#N/A</v>
      </c>
    </row>
    <row r="192" spans="1:8" x14ac:dyDescent="0.2">
      <c r="A192" s="6">
        <v>190</v>
      </c>
      <c r="B192" t="e">
        <f>MATCH($A192,part!$A$1:$A$2001,0)</f>
        <v>#N/A</v>
      </c>
      <c r="C192" t="e">
        <f t="shared" ca="1" si="12"/>
        <v>#N/A</v>
      </c>
      <c r="D192" t="e">
        <f t="shared" ca="1" si="13"/>
        <v>#N/A</v>
      </c>
      <c r="E192" t="e">
        <f t="shared" ca="1" si="14"/>
        <v>#N/A</v>
      </c>
      <c r="F192" s="6" t="e">
        <f t="shared" ca="1" si="15"/>
        <v>#N/A</v>
      </c>
      <c r="G192" t="e">
        <f t="shared" ca="1" si="16"/>
        <v>#N/A</v>
      </c>
      <c r="H192" t="e">
        <f t="shared" ca="1" si="17"/>
        <v>#N/A</v>
      </c>
    </row>
    <row r="193" spans="1:8" x14ac:dyDescent="0.2">
      <c r="A193" s="6">
        <v>191</v>
      </c>
      <c r="B193" t="e">
        <f>MATCH($A193,part!$A$1:$A$2001,0)</f>
        <v>#N/A</v>
      </c>
      <c r="C193" t="e">
        <f t="shared" ca="1" si="12"/>
        <v>#N/A</v>
      </c>
      <c r="D193" t="e">
        <f t="shared" ca="1" si="13"/>
        <v>#N/A</v>
      </c>
      <c r="E193" t="e">
        <f t="shared" ca="1" si="14"/>
        <v>#N/A</v>
      </c>
      <c r="F193" s="6" t="e">
        <f t="shared" ca="1" si="15"/>
        <v>#N/A</v>
      </c>
      <c r="G193" t="e">
        <f t="shared" ca="1" si="16"/>
        <v>#N/A</v>
      </c>
      <c r="H193" t="e">
        <f t="shared" ca="1" si="17"/>
        <v>#N/A</v>
      </c>
    </row>
    <row r="194" spans="1:8" x14ac:dyDescent="0.2">
      <c r="A194" s="6">
        <v>192</v>
      </c>
      <c r="B194" t="e">
        <f>MATCH($A194,part!$A$1:$A$2001,0)</f>
        <v>#N/A</v>
      </c>
      <c r="C194" t="e">
        <f t="shared" ref="C194:C257" ca="1" si="18">INDIRECT(ADDRESS($B194,2,,,"part"))</f>
        <v>#N/A</v>
      </c>
      <c r="D194" t="e">
        <f t="shared" ref="D194:D257" ca="1" si="19">INDIRECT(ADDRESS($B194,3,,,"part"))</f>
        <v>#N/A</v>
      </c>
      <c r="E194" t="e">
        <f t="shared" ref="E194:E257" ca="1" si="20">INDIRECT(ADDRESS($D194+1,2,,,"[namespace.xlsx]part type"))</f>
        <v>#N/A</v>
      </c>
      <c r="F194" s="6" t="e">
        <f t="shared" ref="F194:F257" ca="1" si="21">INDIRECT(ADDRESS($B194,4,,,"part"))</f>
        <v>#N/A</v>
      </c>
      <c r="G194" t="e">
        <f t="shared" ref="G194:G257" ca="1" si="22">IF($F194&gt;=0,INDIRECT(ADDRESS($F194+2,2,,,"comp")),-1)</f>
        <v>#N/A</v>
      </c>
      <c r="H194" t="e">
        <f t="shared" ref="H194:H257" ca="1" si="23">INDIRECT(ADDRESS($G194+2,2,,,"[namespace.xlsx]comp type"))</f>
        <v>#N/A</v>
      </c>
    </row>
    <row r="195" spans="1:8" x14ac:dyDescent="0.2">
      <c r="A195" s="6">
        <v>193</v>
      </c>
      <c r="B195" t="e">
        <f>MATCH($A195,part!$A$1:$A$2001,0)</f>
        <v>#N/A</v>
      </c>
      <c r="C195" t="e">
        <f t="shared" ca="1" si="18"/>
        <v>#N/A</v>
      </c>
      <c r="D195" t="e">
        <f t="shared" ca="1" si="19"/>
        <v>#N/A</v>
      </c>
      <c r="E195" t="e">
        <f t="shared" ca="1" si="20"/>
        <v>#N/A</v>
      </c>
      <c r="F195" s="6" t="e">
        <f t="shared" ca="1" si="21"/>
        <v>#N/A</v>
      </c>
      <c r="G195" t="e">
        <f t="shared" ca="1" si="22"/>
        <v>#N/A</v>
      </c>
      <c r="H195" t="e">
        <f t="shared" ca="1" si="23"/>
        <v>#N/A</v>
      </c>
    </row>
    <row r="196" spans="1:8" x14ac:dyDescent="0.2">
      <c r="A196" s="6">
        <v>194</v>
      </c>
      <c r="B196" t="e">
        <f>MATCH($A196,part!$A$1:$A$2001,0)</f>
        <v>#N/A</v>
      </c>
      <c r="C196" t="e">
        <f t="shared" ca="1" si="18"/>
        <v>#N/A</v>
      </c>
      <c r="D196" t="e">
        <f t="shared" ca="1" si="19"/>
        <v>#N/A</v>
      </c>
      <c r="E196" t="e">
        <f t="shared" ca="1" si="20"/>
        <v>#N/A</v>
      </c>
      <c r="F196" s="6" t="e">
        <f t="shared" ca="1" si="21"/>
        <v>#N/A</v>
      </c>
      <c r="G196" t="e">
        <f t="shared" ca="1" si="22"/>
        <v>#N/A</v>
      </c>
      <c r="H196" t="e">
        <f t="shared" ca="1" si="23"/>
        <v>#N/A</v>
      </c>
    </row>
    <row r="197" spans="1:8" x14ac:dyDescent="0.2">
      <c r="A197" s="6">
        <v>195</v>
      </c>
      <c r="B197" t="e">
        <f>MATCH($A197,part!$A$1:$A$2001,0)</f>
        <v>#N/A</v>
      </c>
      <c r="C197" t="e">
        <f t="shared" ca="1" si="18"/>
        <v>#N/A</v>
      </c>
      <c r="D197" t="e">
        <f t="shared" ca="1" si="19"/>
        <v>#N/A</v>
      </c>
      <c r="E197" t="e">
        <f t="shared" ca="1" si="20"/>
        <v>#N/A</v>
      </c>
      <c r="F197" s="6" t="e">
        <f t="shared" ca="1" si="21"/>
        <v>#N/A</v>
      </c>
      <c r="G197" t="e">
        <f t="shared" ca="1" si="22"/>
        <v>#N/A</v>
      </c>
      <c r="H197" t="e">
        <f t="shared" ca="1" si="23"/>
        <v>#N/A</v>
      </c>
    </row>
    <row r="198" spans="1:8" x14ac:dyDescent="0.2">
      <c r="A198" s="6">
        <v>196</v>
      </c>
      <c r="B198" t="e">
        <f>MATCH($A198,part!$A$1:$A$2001,0)</f>
        <v>#N/A</v>
      </c>
      <c r="C198" t="e">
        <f t="shared" ca="1" si="18"/>
        <v>#N/A</v>
      </c>
      <c r="D198" t="e">
        <f t="shared" ca="1" si="19"/>
        <v>#N/A</v>
      </c>
      <c r="E198" t="e">
        <f t="shared" ca="1" si="20"/>
        <v>#N/A</v>
      </c>
      <c r="F198" s="6" t="e">
        <f t="shared" ca="1" si="21"/>
        <v>#N/A</v>
      </c>
      <c r="G198" t="e">
        <f t="shared" ca="1" si="22"/>
        <v>#N/A</v>
      </c>
      <c r="H198" t="e">
        <f t="shared" ca="1" si="23"/>
        <v>#N/A</v>
      </c>
    </row>
    <row r="199" spans="1:8" x14ac:dyDescent="0.2">
      <c r="A199" s="6">
        <v>197</v>
      </c>
      <c r="B199" t="e">
        <f>MATCH($A199,part!$A$1:$A$2001,0)</f>
        <v>#N/A</v>
      </c>
      <c r="C199" t="e">
        <f t="shared" ca="1" si="18"/>
        <v>#N/A</v>
      </c>
      <c r="D199" t="e">
        <f t="shared" ca="1" si="19"/>
        <v>#N/A</v>
      </c>
      <c r="E199" t="e">
        <f t="shared" ca="1" si="20"/>
        <v>#N/A</v>
      </c>
      <c r="F199" s="6" t="e">
        <f t="shared" ca="1" si="21"/>
        <v>#N/A</v>
      </c>
      <c r="G199" t="e">
        <f t="shared" ca="1" si="22"/>
        <v>#N/A</v>
      </c>
      <c r="H199" t="e">
        <f t="shared" ca="1" si="23"/>
        <v>#N/A</v>
      </c>
    </row>
    <row r="200" spans="1:8" x14ac:dyDescent="0.2">
      <c r="A200" s="6">
        <v>198</v>
      </c>
      <c r="B200" t="e">
        <f>MATCH($A200,part!$A$1:$A$2001,0)</f>
        <v>#N/A</v>
      </c>
      <c r="C200" t="e">
        <f t="shared" ca="1" si="18"/>
        <v>#N/A</v>
      </c>
      <c r="D200" t="e">
        <f t="shared" ca="1" si="19"/>
        <v>#N/A</v>
      </c>
      <c r="E200" t="e">
        <f t="shared" ca="1" si="20"/>
        <v>#N/A</v>
      </c>
      <c r="F200" s="6" t="e">
        <f t="shared" ca="1" si="21"/>
        <v>#N/A</v>
      </c>
      <c r="G200" t="e">
        <f t="shared" ca="1" si="22"/>
        <v>#N/A</v>
      </c>
      <c r="H200" t="e">
        <f t="shared" ca="1" si="23"/>
        <v>#N/A</v>
      </c>
    </row>
    <row r="201" spans="1:8" x14ac:dyDescent="0.2">
      <c r="A201" s="6">
        <v>199</v>
      </c>
      <c r="B201" t="e">
        <f>MATCH($A201,part!$A$1:$A$2001,0)</f>
        <v>#N/A</v>
      </c>
      <c r="C201" t="e">
        <f t="shared" ca="1" si="18"/>
        <v>#N/A</v>
      </c>
      <c r="D201" t="e">
        <f t="shared" ca="1" si="19"/>
        <v>#N/A</v>
      </c>
      <c r="E201" t="e">
        <f t="shared" ca="1" si="20"/>
        <v>#N/A</v>
      </c>
      <c r="F201" s="6" t="e">
        <f t="shared" ca="1" si="21"/>
        <v>#N/A</v>
      </c>
      <c r="G201" t="e">
        <f t="shared" ca="1" si="22"/>
        <v>#N/A</v>
      </c>
      <c r="H201" t="e">
        <f t="shared" ca="1" si="23"/>
        <v>#N/A</v>
      </c>
    </row>
    <row r="202" spans="1:8" x14ac:dyDescent="0.2">
      <c r="A202" s="6">
        <v>200</v>
      </c>
      <c r="B202" t="e">
        <f>MATCH($A202,part!$A$1:$A$2001,0)</f>
        <v>#N/A</v>
      </c>
      <c r="C202" t="e">
        <f t="shared" ca="1" si="18"/>
        <v>#N/A</v>
      </c>
      <c r="D202" t="e">
        <f t="shared" ca="1" si="19"/>
        <v>#N/A</v>
      </c>
      <c r="E202" t="e">
        <f t="shared" ca="1" si="20"/>
        <v>#N/A</v>
      </c>
      <c r="F202" s="6" t="e">
        <f t="shared" ca="1" si="21"/>
        <v>#N/A</v>
      </c>
      <c r="G202" t="e">
        <f t="shared" ca="1" si="22"/>
        <v>#N/A</v>
      </c>
      <c r="H202" t="e">
        <f t="shared" ca="1" si="23"/>
        <v>#N/A</v>
      </c>
    </row>
    <row r="203" spans="1:8" x14ac:dyDescent="0.2">
      <c r="A203" s="6">
        <v>201</v>
      </c>
      <c r="B203" t="e">
        <f>MATCH($A203,part!$A$1:$A$2001,0)</f>
        <v>#N/A</v>
      </c>
      <c r="C203" t="e">
        <f t="shared" ca="1" si="18"/>
        <v>#N/A</v>
      </c>
      <c r="D203" t="e">
        <f t="shared" ca="1" si="19"/>
        <v>#N/A</v>
      </c>
      <c r="E203" t="e">
        <f t="shared" ca="1" si="20"/>
        <v>#N/A</v>
      </c>
      <c r="F203" s="6" t="e">
        <f t="shared" ca="1" si="21"/>
        <v>#N/A</v>
      </c>
      <c r="G203" t="e">
        <f t="shared" ca="1" si="22"/>
        <v>#N/A</v>
      </c>
      <c r="H203" t="e">
        <f t="shared" ca="1" si="23"/>
        <v>#N/A</v>
      </c>
    </row>
    <row r="204" spans="1:8" x14ac:dyDescent="0.2">
      <c r="A204" s="6">
        <v>202</v>
      </c>
      <c r="B204" t="e">
        <f>MATCH($A204,part!$A$1:$A$2001,0)</f>
        <v>#N/A</v>
      </c>
      <c r="C204" t="e">
        <f t="shared" ca="1" si="18"/>
        <v>#N/A</v>
      </c>
      <c r="D204" t="e">
        <f t="shared" ca="1" si="19"/>
        <v>#N/A</v>
      </c>
      <c r="E204" t="e">
        <f t="shared" ca="1" si="20"/>
        <v>#N/A</v>
      </c>
      <c r="F204" s="6" t="e">
        <f t="shared" ca="1" si="21"/>
        <v>#N/A</v>
      </c>
      <c r="G204" t="e">
        <f t="shared" ca="1" si="22"/>
        <v>#N/A</v>
      </c>
      <c r="H204" t="e">
        <f t="shared" ca="1" si="23"/>
        <v>#N/A</v>
      </c>
    </row>
    <row r="205" spans="1:8" x14ac:dyDescent="0.2">
      <c r="A205" s="6">
        <v>203</v>
      </c>
      <c r="B205" t="e">
        <f>MATCH($A205,part!$A$1:$A$2001,0)</f>
        <v>#N/A</v>
      </c>
      <c r="C205" t="e">
        <f t="shared" ca="1" si="18"/>
        <v>#N/A</v>
      </c>
      <c r="D205" t="e">
        <f t="shared" ca="1" si="19"/>
        <v>#N/A</v>
      </c>
      <c r="E205" t="e">
        <f t="shared" ca="1" si="20"/>
        <v>#N/A</v>
      </c>
      <c r="F205" s="6" t="e">
        <f t="shared" ca="1" si="21"/>
        <v>#N/A</v>
      </c>
      <c r="G205" t="e">
        <f t="shared" ca="1" si="22"/>
        <v>#N/A</v>
      </c>
      <c r="H205" t="e">
        <f t="shared" ca="1" si="23"/>
        <v>#N/A</v>
      </c>
    </row>
    <row r="206" spans="1:8" x14ac:dyDescent="0.2">
      <c r="A206" s="6">
        <v>204</v>
      </c>
      <c r="B206" t="e">
        <f>MATCH($A206,part!$A$1:$A$2001,0)</f>
        <v>#N/A</v>
      </c>
      <c r="C206" t="e">
        <f t="shared" ca="1" si="18"/>
        <v>#N/A</v>
      </c>
      <c r="D206" t="e">
        <f t="shared" ca="1" si="19"/>
        <v>#N/A</v>
      </c>
      <c r="E206" t="e">
        <f t="shared" ca="1" si="20"/>
        <v>#N/A</v>
      </c>
      <c r="F206" s="6" t="e">
        <f t="shared" ca="1" si="21"/>
        <v>#N/A</v>
      </c>
      <c r="G206" t="e">
        <f t="shared" ca="1" si="22"/>
        <v>#N/A</v>
      </c>
      <c r="H206" t="e">
        <f t="shared" ca="1" si="23"/>
        <v>#N/A</v>
      </c>
    </row>
    <row r="207" spans="1:8" x14ac:dyDescent="0.2">
      <c r="A207" s="6">
        <v>205</v>
      </c>
      <c r="B207" t="e">
        <f>MATCH($A207,part!$A$1:$A$2001,0)</f>
        <v>#N/A</v>
      </c>
      <c r="C207" t="e">
        <f t="shared" ca="1" si="18"/>
        <v>#N/A</v>
      </c>
      <c r="D207" t="e">
        <f t="shared" ca="1" si="19"/>
        <v>#N/A</v>
      </c>
      <c r="E207" t="e">
        <f t="shared" ca="1" si="20"/>
        <v>#N/A</v>
      </c>
      <c r="F207" s="6" t="e">
        <f t="shared" ca="1" si="21"/>
        <v>#N/A</v>
      </c>
      <c r="G207" t="e">
        <f t="shared" ca="1" si="22"/>
        <v>#N/A</v>
      </c>
      <c r="H207" t="e">
        <f t="shared" ca="1" si="23"/>
        <v>#N/A</v>
      </c>
    </row>
    <row r="208" spans="1:8" x14ac:dyDescent="0.2">
      <c r="A208" s="6">
        <v>206</v>
      </c>
      <c r="B208" t="e">
        <f>MATCH($A208,part!$A$1:$A$2001,0)</f>
        <v>#N/A</v>
      </c>
      <c r="C208" t="e">
        <f t="shared" ca="1" si="18"/>
        <v>#N/A</v>
      </c>
      <c r="D208" t="e">
        <f t="shared" ca="1" si="19"/>
        <v>#N/A</v>
      </c>
      <c r="E208" t="e">
        <f t="shared" ca="1" si="20"/>
        <v>#N/A</v>
      </c>
      <c r="F208" s="6" t="e">
        <f t="shared" ca="1" si="21"/>
        <v>#N/A</v>
      </c>
      <c r="G208" t="e">
        <f t="shared" ca="1" si="22"/>
        <v>#N/A</v>
      </c>
      <c r="H208" t="e">
        <f t="shared" ca="1" si="23"/>
        <v>#N/A</v>
      </c>
    </row>
    <row r="209" spans="1:8" x14ac:dyDescent="0.2">
      <c r="A209" s="6">
        <v>207</v>
      </c>
      <c r="B209" t="e">
        <f>MATCH($A209,part!$A$1:$A$2001,0)</f>
        <v>#N/A</v>
      </c>
      <c r="C209" t="e">
        <f t="shared" ca="1" si="18"/>
        <v>#N/A</v>
      </c>
      <c r="D209" t="e">
        <f t="shared" ca="1" si="19"/>
        <v>#N/A</v>
      </c>
      <c r="E209" t="e">
        <f t="shared" ca="1" si="20"/>
        <v>#N/A</v>
      </c>
      <c r="F209" s="6" t="e">
        <f t="shared" ca="1" si="21"/>
        <v>#N/A</v>
      </c>
      <c r="G209" t="e">
        <f t="shared" ca="1" si="22"/>
        <v>#N/A</v>
      </c>
      <c r="H209" t="e">
        <f t="shared" ca="1" si="23"/>
        <v>#N/A</v>
      </c>
    </row>
    <row r="210" spans="1:8" x14ac:dyDescent="0.2">
      <c r="A210" s="6">
        <v>208</v>
      </c>
      <c r="B210" t="e">
        <f>MATCH($A210,part!$A$1:$A$2001,0)</f>
        <v>#N/A</v>
      </c>
      <c r="C210" t="e">
        <f t="shared" ca="1" si="18"/>
        <v>#N/A</v>
      </c>
      <c r="D210" t="e">
        <f t="shared" ca="1" si="19"/>
        <v>#N/A</v>
      </c>
      <c r="E210" t="e">
        <f t="shared" ca="1" si="20"/>
        <v>#N/A</v>
      </c>
      <c r="F210" s="6" t="e">
        <f t="shared" ca="1" si="21"/>
        <v>#N/A</v>
      </c>
      <c r="G210" t="e">
        <f t="shared" ca="1" si="22"/>
        <v>#N/A</v>
      </c>
      <c r="H210" t="e">
        <f t="shared" ca="1" si="23"/>
        <v>#N/A</v>
      </c>
    </row>
    <row r="211" spans="1:8" x14ac:dyDescent="0.2">
      <c r="A211" s="6">
        <v>209</v>
      </c>
      <c r="B211" t="e">
        <f>MATCH($A211,part!$A$1:$A$2001,0)</f>
        <v>#N/A</v>
      </c>
      <c r="C211" t="e">
        <f t="shared" ca="1" si="18"/>
        <v>#N/A</v>
      </c>
      <c r="D211" t="e">
        <f t="shared" ca="1" si="19"/>
        <v>#N/A</v>
      </c>
      <c r="E211" t="e">
        <f t="shared" ca="1" si="20"/>
        <v>#N/A</v>
      </c>
      <c r="F211" s="6" t="e">
        <f t="shared" ca="1" si="21"/>
        <v>#N/A</v>
      </c>
      <c r="G211" t="e">
        <f t="shared" ca="1" si="22"/>
        <v>#N/A</v>
      </c>
      <c r="H211" t="e">
        <f t="shared" ca="1" si="23"/>
        <v>#N/A</v>
      </c>
    </row>
    <row r="212" spans="1:8" x14ac:dyDescent="0.2">
      <c r="A212" s="6">
        <v>210</v>
      </c>
      <c r="B212" t="e">
        <f>MATCH($A212,part!$A$1:$A$2001,0)</f>
        <v>#N/A</v>
      </c>
      <c r="C212" t="e">
        <f t="shared" ca="1" si="18"/>
        <v>#N/A</v>
      </c>
      <c r="D212" t="e">
        <f t="shared" ca="1" si="19"/>
        <v>#N/A</v>
      </c>
      <c r="E212" t="e">
        <f t="shared" ca="1" si="20"/>
        <v>#N/A</v>
      </c>
      <c r="F212" s="6" t="e">
        <f t="shared" ca="1" si="21"/>
        <v>#N/A</v>
      </c>
      <c r="G212" t="e">
        <f t="shared" ca="1" si="22"/>
        <v>#N/A</v>
      </c>
      <c r="H212" t="e">
        <f t="shared" ca="1" si="23"/>
        <v>#N/A</v>
      </c>
    </row>
    <row r="213" spans="1:8" x14ac:dyDescent="0.2">
      <c r="A213" s="6">
        <v>211</v>
      </c>
      <c r="B213" t="e">
        <f>MATCH($A213,part!$A$1:$A$2001,0)</f>
        <v>#N/A</v>
      </c>
      <c r="C213" t="e">
        <f t="shared" ca="1" si="18"/>
        <v>#N/A</v>
      </c>
      <c r="D213" t="e">
        <f t="shared" ca="1" si="19"/>
        <v>#N/A</v>
      </c>
      <c r="E213" t="e">
        <f t="shared" ca="1" si="20"/>
        <v>#N/A</v>
      </c>
      <c r="F213" s="6" t="e">
        <f t="shared" ca="1" si="21"/>
        <v>#N/A</v>
      </c>
      <c r="G213" t="e">
        <f t="shared" ca="1" si="22"/>
        <v>#N/A</v>
      </c>
      <c r="H213" t="e">
        <f t="shared" ca="1" si="23"/>
        <v>#N/A</v>
      </c>
    </row>
    <row r="214" spans="1:8" x14ac:dyDescent="0.2">
      <c r="A214" s="6">
        <v>212</v>
      </c>
      <c r="B214" t="e">
        <f>MATCH($A214,part!$A$1:$A$2001,0)</f>
        <v>#N/A</v>
      </c>
      <c r="C214" t="e">
        <f t="shared" ca="1" si="18"/>
        <v>#N/A</v>
      </c>
      <c r="D214" t="e">
        <f t="shared" ca="1" si="19"/>
        <v>#N/A</v>
      </c>
      <c r="E214" t="e">
        <f t="shared" ca="1" si="20"/>
        <v>#N/A</v>
      </c>
      <c r="F214" s="6" t="e">
        <f t="shared" ca="1" si="21"/>
        <v>#N/A</v>
      </c>
      <c r="G214" t="e">
        <f t="shared" ca="1" si="22"/>
        <v>#N/A</v>
      </c>
      <c r="H214" t="e">
        <f t="shared" ca="1" si="23"/>
        <v>#N/A</v>
      </c>
    </row>
    <row r="215" spans="1:8" x14ac:dyDescent="0.2">
      <c r="A215" s="6">
        <v>213</v>
      </c>
      <c r="B215" t="e">
        <f>MATCH($A215,part!$A$1:$A$2001,0)</f>
        <v>#N/A</v>
      </c>
      <c r="C215" t="e">
        <f t="shared" ca="1" si="18"/>
        <v>#N/A</v>
      </c>
      <c r="D215" t="e">
        <f t="shared" ca="1" si="19"/>
        <v>#N/A</v>
      </c>
      <c r="E215" t="e">
        <f t="shared" ca="1" si="20"/>
        <v>#N/A</v>
      </c>
      <c r="F215" s="6" t="e">
        <f t="shared" ca="1" si="21"/>
        <v>#N/A</v>
      </c>
      <c r="G215" t="e">
        <f t="shared" ca="1" si="22"/>
        <v>#N/A</v>
      </c>
      <c r="H215" t="e">
        <f t="shared" ca="1" si="23"/>
        <v>#N/A</v>
      </c>
    </row>
    <row r="216" spans="1:8" x14ac:dyDescent="0.2">
      <c r="A216" s="6">
        <v>214</v>
      </c>
      <c r="B216" t="e">
        <f>MATCH($A216,part!$A$1:$A$2001,0)</f>
        <v>#N/A</v>
      </c>
      <c r="C216" t="e">
        <f t="shared" ca="1" si="18"/>
        <v>#N/A</v>
      </c>
      <c r="D216" t="e">
        <f t="shared" ca="1" si="19"/>
        <v>#N/A</v>
      </c>
      <c r="E216" t="e">
        <f t="shared" ca="1" si="20"/>
        <v>#N/A</v>
      </c>
      <c r="F216" s="6" t="e">
        <f t="shared" ca="1" si="21"/>
        <v>#N/A</v>
      </c>
      <c r="G216" t="e">
        <f t="shared" ca="1" si="22"/>
        <v>#N/A</v>
      </c>
      <c r="H216" t="e">
        <f t="shared" ca="1" si="23"/>
        <v>#N/A</v>
      </c>
    </row>
    <row r="217" spans="1:8" x14ac:dyDescent="0.2">
      <c r="A217" s="6">
        <v>215</v>
      </c>
      <c r="B217" t="e">
        <f>MATCH($A217,part!$A$1:$A$2001,0)</f>
        <v>#N/A</v>
      </c>
      <c r="C217" t="e">
        <f t="shared" ca="1" si="18"/>
        <v>#N/A</v>
      </c>
      <c r="D217" t="e">
        <f t="shared" ca="1" si="19"/>
        <v>#N/A</v>
      </c>
      <c r="E217" t="e">
        <f t="shared" ca="1" si="20"/>
        <v>#N/A</v>
      </c>
      <c r="F217" s="6" t="e">
        <f t="shared" ca="1" si="21"/>
        <v>#N/A</v>
      </c>
      <c r="G217" t="e">
        <f t="shared" ca="1" si="22"/>
        <v>#N/A</v>
      </c>
      <c r="H217" t="e">
        <f t="shared" ca="1" si="23"/>
        <v>#N/A</v>
      </c>
    </row>
    <row r="218" spans="1:8" x14ac:dyDescent="0.2">
      <c r="A218" s="6">
        <v>216</v>
      </c>
      <c r="B218" t="e">
        <f>MATCH($A218,part!$A$1:$A$2001,0)</f>
        <v>#N/A</v>
      </c>
      <c r="C218" t="e">
        <f t="shared" ca="1" si="18"/>
        <v>#N/A</v>
      </c>
      <c r="D218" t="e">
        <f t="shared" ca="1" si="19"/>
        <v>#N/A</v>
      </c>
      <c r="E218" t="e">
        <f t="shared" ca="1" si="20"/>
        <v>#N/A</v>
      </c>
      <c r="F218" s="6" t="e">
        <f t="shared" ca="1" si="21"/>
        <v>#N/A</v>
      </c>
      <c r="G218" t="e">
        <f t="shared" ca="1" si="22"/>
        <v>#N/A</v>
      </c>
      <c r="H218" t="e">
        <f t="shared" ca="1" si="23"/>
        <v>#N/A</v>
      </c>
    </row>
    <row r="219" spans="1:8" x14ac:dyDescent="0.2">
      <c r="A219" s="6">
        <v>217</v>
      </c>
      <c r="B219" t="e">
        <f>MATCH($A219,part!$A$1:$A$2001,0)</f>
        <v>#N/A</v>
      </c>
      <c r="C219" t="e">
        <f t="shared" ca="1" si="18"/>
        <v>#N/A</v>
      </c>
      <c r="D219" t="e">
        <f t="shared" ca="1" si="19"/>
        <v>#N/A</v>
      </c>
      <c r="E219" t="e">
        <f t="shared" ca="1" si="20"/>
        <v>#N/A</v>
      </c>
      <c r="F219" s="6" t="e">
        <f t="shared" ca="1" si="21"/>
        <v>#N/A</v>
      </c>
      <c r="G219" t="e">
        <f t="shared" ca="1" si="22"/>
        <v>#N/A</v>
      </c>
      <c r="H219" t="e">
        <f t="shared" ca="1" si="23"/>
        <v>#N/A</v>
      </c>
    </row>
    <row r="220" spans="1:8" x14ac:dyDescent="0.2">
      <c r="A220" s="6">
        <v>218</v>
      </c>
      <c r="B220" t="e">
        <f>MATCH($A220,part!$A$1:$A$2001,0)</f>
        <v>#N/A</v>
      </c>
      <c r="C220" t="e">
        <f t="shared" ca="1" si="18"/>
        <v>#N/A</v>
      </c>
      <c r="D220" t="e">
        <f t="shared" ca="1" si="19"/>
        <v>#N/A</v>
      </c>
      <c r="E220" t="e">
        <f t="shared" ca="1" si="20"/>
        <v>#N/A</v>
      </c>
      <c r="F220" s="6" t="e">
        <f t="shared" ca="1" si="21"/>
        <v>#N/A</v>
      </c>
      <c r="G220" t="e">
        <f t="shared" ca="1" si="22"/>
        <v>#N/A</v>
      </c>
      <c r="H220" t="e">
        <f t="shared" ca="1" si="23"/>
        <v>#N/A</v>
      </c>
    </row>
    <row r="221" spans="1:8" x14ac:dyDescent="0.2">
      <c r="A221" s="6">
        <v>219</v>
      </c>
      <c r="B221" t="e">
        <f>MATCH($A221,part!$A$1:$A$2001,0)</f>
        <v>#N/A</v>
      </c>
      <c r="C221" t="e">
        <f t="shared" ca="1" si="18"/>
        <v>#N/A</v>
      </c>
      <c r="D221" t="e">
        <f t="shared" ca="1" si="19"/>
        <v>#N/A</v>
      </c>
      <c r="E221" t="e">
        <f t="shared" ca="1" si="20"/>
        <v>#N/A</v>
      </c>
      <c r="F221" s="6" t="e">
        <f t="shared" ca="1" si="21"/>
        <v>#N/A</v>
      </c>
      <c r="G221" t="e">
        <f t="shared" ca="1" si="22"/>
        <v>#N/A</v>
      </c>
      <c r="H221" t="e">
        <f t="shared" ca="1" si="23"/>
        <v>#N/A</v>
      </c>
    </row>
    <row r="222" spans="1:8" x14ac:dyDescent="0.2">
      <c r="A222" s="6">
        <v>220</v>
      </c>
      <c r="B222" t="e">
        <f>MATCH($A222,part!$A$1:$A$2001,0)</f>
        <v>#N/A</v>
      </c>
      <c r="C222" t="e">
        <f t="shared" ca="1" si="18"/>
        <v>#N/A</v>
      </c>
      <c r="D222" t="e">
        <f t="shared" ca="1" si="19"/>
        <v>#N/A</v>
      </c>
      <c r="E222" t="e">
        <f t="shared" ca="1" si="20"/>
        <v>#N/A</v>
      </c>
      <c r="F222" s="6" t="e">
        <f t="shared" ca="1" si="21"/>
        <v>#N/A</v>
      </c>
      <c r="G222" t="e">
        <f t="shared" ca="1" si="22"/>
        <v>#N/A</v>
      </c>
      <c r="H222" t="e">
        <f t="shared" ca="1" si="23"/>
        <v>#N/A</v>
      </c>
    </row>
    <row r="223" spans="1:8" x14ac:dyDescent="0.2">
      <c r="A223" s="6">
        <v>221</v>
      </c>
      <c r="B223" t="e">
        <f>MATCH($A223,part!$A$1:$A$2001,0)</f>
        <v>#N/A</v>
      </c>
      <c r="C223" t="e">
        <f t="shared" ca="1" si="18"/>
        <v>#N/A</v>
      </c>
      <c r="D223" t="e">
        <f t="shared" ca="1" si="19"/>
        <v>#N/A</v>
      </c>
      <c r="E223" t="e">
        <f t="shared" ca="1" si="20"/>
        <v>#N/A</v>
      </c>
      <c r="F223" s="6" t="e">
        <f t="shared" ca="1" si="21"/>
        <v>#N/A</v>
      </c>
      <c r="G223" t="e">
        <f t="shared" ca="1" si="22"/>
        <v>#N/A</v>
      </c>
      <c r="H223" t="e">
        <f t="shared" ca="1" si="23"/>
        <v>#N/A</v>
      </c>
    </row>
    <row r="224" spans="1:8" x14ac:dyDescent="0.2">
      <c r="A224" s="6">
        <v>222</v>
      </c>
      <c r="B224" t="e">
        <f>MATCH($A224,part!$A$1:$A$2001,0)</f>
        <v>#N/A</v>
      </c>
      <c r="C224" t="e">
        <f t="shared" ca="1" si="18"/>
        <v>#N/A</v>
      </c>
      <c r="D224" t="e">
        <f t="shared" ca="1" si="19"/>
        <v>#N/A</v>
      </c>
      <c r="E224" t="e">
        <f t="shared" ca="1" si="20"/>
        <v>#N/A</v>
      </c>
      <c r="F224" s="6" t="e">
        <f t="shared" ca="1" si="21"/>
        <v>#N/A</v>
      </c>
      <c r="G224" t="e">
        <f t="shared" ca="1" si="22"/>
        <v>#N/A</v>
      </c>
      <c r="H224" t="e">
        <f t="shared" ca="1" si="23"/>
        <v>#N/A</v>
      </c>
    </row>
    <row r="225" spans="1:8" x14ac:dyDescent="0.2">
      <c r="A225" s="6">
        <v>223</v>
      </c>
      <c r="B225" t="e">
        <f>MATCH($A225,part!$A$1:$A$2001,0)</f>
        <v>#N/A</v>
      </c>
      <c r="C225" t="e">
        <f t="shared" ca="1" si="18"/>
        <v>#N/A</v>
      </c>
      <c r="D225" t="e">
        <f t="shared" ca="1" si="19"/>
        <v>#N/A</v>
      </c>
      <c r="E225" t="e">
        <f t="shared" ca="1" si="20"/>
        <v>#N/A</v>
      </c>
      <c r="F225" s="6" t="e">
        <f t="shared" ca="1" si="21"/>
        <v>#N/A</v>
      </c>
      <c r="G225" t="e">
        <f t="shared" ca="1" si="22"/>
        <v>#N/A</v>
      </c>
      <c r="H225" t="e">
        <f t="shared" ca="1" si="23"/>
        <v>#N/A</v>
      </c>
    </row>
    <row r="226" spans="1:8" x14ac:dyDescent="0.2">
      <c r="A226" s="6">
        <v>224</v>
      </c>
      <c r="B226" t="e">
        <f>MATCH($A226,part!$A$1:$A$2001,0)</f>
        <v>#N/A</v>
      </c>
      <c r="C226" t="e">
        <f t="shared" ca="1" si="18"/>
        <v>#N/A</v>
      </c>
      <c r="D226" t="e">
        <f t="shared" ca="1" si="19"/>
        <v>#N/A</v>
      </c>
      <c r="E226" t="e">
        <f t="shared" ca="1" si="20"/>
        <v>#N/A</v>
      </c>
      <c r="F226" s="6" t="e">
        <f t="shared" ca="1" si="21"/>
        <v>#N/A</v>
      </c>
      <c r="G226" t="e">
        <f t="shared" ca="1" si="22"/>
        <v>#N/A</v>
      </c>
      <c r="H226" t="e">
        <f t="shared" ca="1" si="23"/>
        <v>#N/A</v>
      </c>
    </row>
    <row r="227" spans="1:8" x14ac:dyDescent="0.2">
      <c r="A227" s="6">
        <v>225</v>
      </c>
      <c r="B227" t="e">
        <f>MATCH($A227,part!$A$1:$A$2001,0)</f>
        <v>#N/A</v>
      </c>
      <c r="C227" t="e">
        <f t="shared" ca="1" si="18"/>
        <v>#N/A</v>
      </c>
      <c r="D227" t="e">
        <f t="shared" ca="1" si="19"/>
        <v>#N/A</v>
      </c>
      <c r="E227" t="e">
        <f t="shared" ca="1" si="20"/>
        <v>#N/A</v>
      </c>
      <c r="F227" s="6" t="e">
        <f t="shared" ca="1" si="21"/>
        <v>#N/A</v>
      </c>
      <c r="G227" t="e">
        <f t="shared" ca="1" si="22"/>
        <v>#N/A</v>
      </c>
      <c r="H227" t="e">
        <f t="shared" ca="1" si="23"/>
        <v>#N/A</v>
      </c>
    </row>
    <row r="228" spans="1:8" x14ac:dyDescent="0.2">
      <c r="A228" s="6">
        <v>226</v>
      </c>
      <c r="B228" t="e">
        <f>MATCH($A228,part!$A$1:$A$2001,0)</f>
        <v>#N/A</v>
      </c>
      <c r="C228" t="e">
        <f t="shared" ca="1" si="18"/>
        <v>#N/A</v>
      </c>
      <c r="D228" t="e">
        <f t="shared" ca="1" si="19"/>
        <v>#N/A</v>
      </c>
      <c r="E228" t="e">
        <f t="shared" ca="1" si="20"/>
        <v>#N/A</v>
      </c>
      <c r="F228" s="6" t="e">
        <f t="shared" ca="1" si="21"/>
        <v>#N/A</v>
      </c>
      <c r="G228" t="e">
        <f t="shared" ca="1" si="22"/>
        <v>#N/A</v>
      </c>
      <c r="H228" t="e">
        <f t="shared" ca="1" si="23"/>
        <v>#N/A</v>
      </c>
    </row>
    <row r="229" spans="1:8" x14ac:dyDescent="0.2">
      <c r="A229" s="6">
        <v>227</v>
      </c>
      <c r="B229" t="e">
        <f>MATCH($A229,part!$A$1:$A$2001,0)</f>
        <v>#N/A</v>
      </c>
      <c r="C229" t="e">
        <f t="shared" ca="1" si="18"/>
        <v>#N/A</v>
      </c>
      <c r="D229" t="e">
        <f t="shared" ca="1" si="19"/>
        <v>#N/A</v>
      </c>
      <c r="E229" t="e">
        <f t="shared" ca="1" si="20"/>
        <v>#N/A</v>
      </c>
      <c r="F229" s="6" t="e">
        <f t="shared" ca="1" si="21"/>
        <v>#N/A</v>
      </c>
      <c r="G229" t="e">
        <f t="shared" ca="1" si="22"/>
        <v>#N/A</v>
      </c>
      <c r="H229" t="e">
        <f t="shared" ca="1" si="23"/>
        <v>#N/A</v>
      </c>
    </row>
    <row r="230" spans="1:8" x14ac:dyDescent="0.2">
      <c r="A230" s="6">
        <v>228</v>
      </c>
      <c r="B230" t="e">
        <f>MATCH($A230,part!$A$1:$A$2001,0)</f>
        <v>#N/A</v>
      </c>
      <c r="C230" t="e">
        <f t="shared" ca="1" si="18"/>
        <v>#N/A</v>
      </c>
      <c r="D230" t="e">
        <f t="shared" ca="1" si="19"/>
        <v>#N/A</v>
      </c>
      <c r="E230" t="e">
        <f t="shared" ca="1" si="20"/>
        <v>#N/A</v>
      </c>
      <c r="F230" s="6" t="e">
        <f t="shared" ca="1" si="21"/>
        <v>#N/A</v>
      </c>
      <c r="G230" t="e">
        <f t="shared" ca="1" si="22"/>
        <v>#N/A</v>
      </c>
      <c r="H230" t="e">
        <f t="shared" ca="1" si="23"/>
        <v>#N/A</v>
      </c>
    </row>
    <row r="231" spans="1:8" x14ac:dyDescent="0.2">
      <c r="A231" s="6">
        <v>229</v>
      </c>
      <c r="B231" t="e">
        <f>MATCH($A231,part!$A$1:$A$2001,0)</f>
        <v>#N/A</v>
      </c>
      <c r="C231" t="e">
        <f t="shared" ca="1" si="18"/>
        <v>#N/A</v>
      </c>
      <c r="D231" t="e">
        <f t="shared" ca="1" si="19"/>
        <v>#N/A</v>
      </c>
      <c r="E231" t="e">
        <f t="shared" ca="1" si="20"/>
        <v>#N/A</v>
      </c>
      <c r="F231" s="6" t="e">
        <f t="shared" ca="1" si="21"/>
        <v>#N/A</v>
      </c>
      <c r="G231" t="e">
        <f t="shared" ca="1" si="22"/>
        <v>#N/A</v>
      </c>
      <c r="H231" t="e">
        <f t="shared" ca="1" si="23"/>
        <v>#N/A</v>
      </c>
    </row>
    <row r="232" spans="1:8" x14ac:dyDescent="0.2">
      <c r="A232" s="6">
        <v>230</v>
      </c>
      <c r="B232" t="e">
        <f>MATCH($A232,part!$A$1:$A$2001,0)</f>
        <v>#N/A</v>
      </c>
      <c r="C232" t="e">
        <f t="shared" ca="1" si="18"/>
        <v>#N/A</v>
      </c>
      <c r="D232" t="e">
        <f t="shared" ca="1" si="19"/>
        <v>#N/A</v>
      </c>
      <c r="E232" t="e">
        <f t="shared" ca="1" si="20"/>
        <v>#N/A</v>
      </c>
      <c r="F232" s="6" t="e">
        <f t="shared" ca="1" si="21"/>
        <v>#N/A</v>
      </c>
      <c r="G232" t="e">
        <f t="shared" ca="1" si="22"/>
        <v>#N/A</v>
      </c>
      <c r="H232" t="e">
        <f t="shared" ca="1" si="23"/>
        <v>#N/A</v>
      </c>
    </row>
    <row r="233" spans="1:8" x14ac:dyDescent="0.2">
      <c r="A233" s="6">
        <v>231</v>
      </c>
      <c r="B233" t="e">
        <f>MATCH($A233,part!$A$1:$A$2001,0)</f>
        <v>#N/A</v>
      </c>
      <c r="C233" t="e">
        <f t="shared" ca="1" si="18"/>
        <v>#N/A</v>
      </c>
      <c r="D233" t="e">
        <f t="shared" ca="1" si="19"/>
        <v>#N/A</v>
      </c>
      <c r="E233" t="e">
        <f t="shared" ca="1" si="20"/>
        <v>#N/A</v>
      </c>
      <c r="F233" s="6" t="e">
        <f t="shared" ca="1" si="21"/>
        <v>#N/A</v>
      </c>
      <c r="G233" t="e">
        <f t="shared" ca="1" si="22"/>
        <v>#N/A</v>
      </c>
      <c r="H233" t="e">
        <f t="shared" ca="1" si="23"/>
        <v>#N/A</v>
      </c>
    </row>
    <row r="234" spans="1:8" x14ac:dyDescent="0.2">
      <c r="A234" s="6">
        <v>232</v>
      </c>
      <c r="B234" t="e">
        <f>MATCH($A234,part!$A$1:$A$2001,0)</f>
        <v>#N/A</v>
      </c>
      <c r="C234" t="e">
        <f t="shared" ca="1" si="18"/>
        <v>#N/A</v>
      </c>
      <c r="D234" t="e">
        <f t="shared" ca="1" si="19"/>
        <v>#N/A</v>
      </c>
      <c r="E234" t="e">
        <f t="shared" ca="1" si="20"/>
        <v>#N/A</v>
      </c>
      <c r="F234" s="6" t="e">
        <f t="shared" ca="1" si="21"/>
        <v>#N/A</v>
      </c>
      <c r="G234" t="e">
        <f t="shared" ca="1" si="22"/>
        <v>#N/A</v>
      </c>
      <c r="H234" t="e">
        <f t="shared" ca="1" si="23"/>
        <v>#N/A</v>
      </c>
    </row>
    <row r="235" spans="1:8" x14ac:dyDescent="0.2">
      <c r="A235" s="6">
        <v>233</v>
      </c>
      <c r="B235" t="e">
        <f>MATCH($A235,part!$A$1:$A$2001,0)</f>
        <v>#N/A</v>
      </c>
      <c r="C235" t="e">
        <f t="shared" ca="1" si="18"/>
        <v>#N/A</v>
      </c>
      <c r="D235" t="e">
        <f t="shared" ca="1" si="19"/>
        <v>#N/A</v>
      </c>
      <c r="E235" t="e">
        <f t="shared" ca="1" si="20"/>
        <v>#N/A</v>
      </c>
      <c r="F235" s="6" t="e">
        <f t="shared" ca="1" si="21"/>
        <v>#N/A</v>
      </c>
      <c r="G235" t="e">
        <f t="shared" ca="1" si="22"/>
        <v>#N/A</v>
      </c>
      <c r="H235" t="e">
        <f t="shared" ca="1" si="23"/>
        <v>#N/A</v>
      </c>
    </row>
    <row r="236" spans="1:8" x14ac:dyDescent="0.2">
      <c r="A236" s="6">
        <v>234</v>
      </c>
      <c r="B236" t="e">
        <f>MATCH($A236,part!$A$1:$A$2001,0)</f>
        <v>#N/A</v>
      </c>
      <c r="C236" t="e">
        <f t="shared" ca="1" si="18"/>
        <v>#N/A</v>
      </c>
      <c r="D236" t="e">
        <f t="shared" ca="1" si="19"/>
        <v>#N/A</v>
      </c>
      <c r="E236" t="e">
        <f t="shared" ca="1" si="20"/>
        <v>#N/A</v>
      </c>
      <c r="F236" s="6" t="e">
        <f t="shared" ca="1" si="21"/>
        <v>#N/A</v>
      </c>
      <c r="G236" t="e">
        <f t="shared" ca="1" si="22"/>
        <v>#N/A</v>
      </c>
      <c r="H236" t="e">
        <f t="shared" ca="1" si="23"/>
        <v>#N/A</v>
      </c>
    </row>
    <row r="237" spans="1:8" x14ac:dyDescent="0.2">
      <c r="A237" s="6">
        <v>235</v>
      </c>
      <c r="B237" t="e">
        <f>MATCH($A237,part!$A$1:$A$2001,0)</f>
        <v>#N/A</v>
      </c>
      <c r="C237" t="e">
        <f t="shared" ca="1" si="18"/>
        <v>#N/A</v>
      </c>
      <c r="D237" t="e">
        <f t="shared" ca="1" si="19"/>
        <v>#N/A</v>
      </c>
      <c r="E237" t="e">
        <f t="shared" ca="1" si="20"/>
        <v>#N/A</v>
      </c>
      <c r="F237" s="6" t="e">
        <f t="shared" ca="1" si="21"/>
        <v>#N/A</v>
      </c>
      <c r="G237" t="e">
        <f t="shared" ca="1" si="22"/>
        <v>#N/A</v>
      </c>
      <c r="H237" t="e">
        <f t="shared" ca="1" si="23"/>
        <v>#N/A</v>
      </c>
    </row>
    <row r="238" spans="1:8" x14ac:dyDescent="0.2">
      <c r="A238" s="6">
        <v>236</v>
      </c>
      <c r="B238" t="e">
        <f>MATCH($A238,part!$A$1:$A$2001,0)</f>
        <v>#N/A</v>
      </c>
      <c r="C238" t="e">
        <f t="shared" ca="1" si="18"/>
        <v>#N/A</v>
      </c>
      <c r="D238" t="e">
        <f t="shared" ca="1" si="19"/>
        <v>#N/A</v>
      </c>
      <c r="E238" t="e">
        <f t="shared" ca="1" si="20"/>
        <v>#N/A</v>
      </c>
      <c r="F238" s="6" t="e">
        <f t="shared" ca="1" si="21"/>
        <v>#N/A</v>
      </c>
      <c r="G238" t="e">
        <f t="shared" ca="1" si="22"/>
        <v>#N/A</v>
      </c>
      <c r="H238" t="e">
        <f t="shared" ca="1" si="23"/>
        <v>#N/A</v>
      </c>
    </row>
    <row r="239" spans="1:8" x14ac:dyDescent="0.2">
      <c r="A239" s="6">
        <v>237</v>
      </c>
      <c r="B239" t="e">
        <f>MATCH($A239,part!$A$1:$A$2001,0)</f>
        <v>#N/A</v>
      </c>
      <c r="C239" t="e">
        <f t="shared" ca="1" si="18"/>
        <v>#N/A</v>
      </c>
      <c r="D239" t="e">
        <f t="shared" ca="1" si="19"/>
        <v>#N/A</v>
      </c>
      <c r="E239" t="e">
        <f t="shared" ca="1" si="20"/>
        <v>#N/A</v>
      </c>
      <c r="F239" s="6" t="e">
        <f t="shared" ca="1" si="21"/>
        <v>#N/A</v>
      </c>
      <c r="G239" t="e">
        <f t="shared" ca="1" si="22"/>
        <v>#N/A</v>
      </c>
      <c r="H239" t="e">
        <f t="shared" ca="1" si="23"/>
        <v>#N/A</v>
      </c>
    </row>
    <row r="240" spans="1:8" x14ac:dyDescent="0.2">
      <c r="A240" s="6">
        <v>238</v>
      </c>
      <c r="B240" t="e">
        <f>MATCH($A240,part!$A$1:$A$2001,0)</f>
        <v>#N/A</v>
      </c>
      <c r="C240" t="e">
        <f t="shared" ca="1" si="18"/>
        <v>#N/A</v>
      </c>
      <c r="D240" t="e">
        <f t="shared" ca="1" si="19"/>
        <v>#N/A</v>
      </c>
      <c r="E240" t="e">
        <f t="shared" ca="1" si="20"/>
        <v>#N/A</v>
      </c>
      <c r="F240" s="6" t="e">
        <f t="shared" ca="1" si="21"/>
        <v>#N/A</v>
      </c>
      <c r="G240" t="e">
        <f t="shared" ca="1" si="22"/>
        <v>#N/A</v>
      </c>
      <c r="H240" t="e">
        <f t="shared" ca="1" si="23"/>
        <v>#N/A</v>
      </c>
    </row>
    <row r="241" spans="1:8" x14ac:dyDescent="0.2">
      <c r="A241" s="6">
        <v>239</v>
      </c>
      <c r="B241" t="e">
        <f>MATCH($A241,part!$A$1:$A$2001,0)</f>
        <v>#N/A</v>
      </c>
      <c r="C241" t="e">
        <f t="shared" ca="1" si="18"/>
        <v>#N/A</v>
      </c>
      <c r="D241" t="e">
        <f t="shared" ca="1" si="19"/>
        <v>#N/A</v>
      </c>
      <c r="E241" t="e">
        <f t="shared" ca="1" si="20"/>
        <v>#N/A</v>
      </c>
      <c r="F241" s="6" t="e">
        <f t="shared" ca="1" si="21"/>
        <v>#N/A</v>
      </c>
      <c r="G241" t="e">
        <f t="shared" ca="1" si="22"/>
        <v>#N/A</v>
      </c>
      <c r="H241" t="e">
        <f t="shared" ca="1" si="23"/>
        <v>#N/A</v>
      </c>
    </row>
    <row r="242" spans="1:8" x14ac:dyDescent="0.2">
      <c r="A242" s="6">
        <v>240</v>
      </c>
      <c r="B242" t="e">
        <f>MATCH($A242,part!$A$1:$A$2001,0)</f>
        <v>#N/A</v>
      </c>
      <c r="C242" t="e">
        <f t="shared" ca="1" si="18"/>
        <v>#N/A</v>
      </c>
      <c r="D242" t="e">
        <f t="shared" ca="1" si="19"/>
        <v>#N/A</v>
      </c>
      <c r="E242" t="e">
        <f t="shared" ca="1" si="20"/>
        <v>#N/A</v>
      </c>
      <c r="F242" s="6" t="e">
        <f t="shared" ca="1" si="21"/>
        <v>#N/A</v>
      </c>
      <c r="G242" t="e">
        <f t="shared" ca="1" si="22"/>
        <v>#N/A</v>
      </c>
      <c r="H242" t="e">
        <f t="shared" ca="1" si="23"/>
        <v>#N/A</v>
      </c>
    </row>
    <row r="243" spans="1:8" x14ac:dyDescent="0.2">
      <c r="A243" s="6">
        <v>241</v>
      </c>
      <c r="B243" t="e">
        <f>MATCH($A243,part!$A$1:$A$2001,0)</f>
        <v>#N/A</v>
      </c>
      <c r="C243" t="e">
        <f t="shared" ca="1" si="18"/>
        <v>#N/A</v>
      </c>
      <c r="D243" t="e">
        <f t="shared" ca="1" si="19"/>
        <v>#N/A</v>
      </c>
      <c r="E243" t="e">
        <f t="shared" ca="1" si="20"/>
        <v>#N/A</v>
      </c>
      <c r="F243" s="6" t="e">
        <f t="shared" ca="1" si="21"/>
        <v>#N/A</v>
      </c>
      <c r="G243" t="e">
        <f t="shared" ca="1" si="22"/>
        <v>#N/A</v>
      </c>
      <c r="H243" t="e">
        <f t="shared" ca="1" si="23"/>
        <v>#N/A</v>
      </c>
    </row>
    <row r="244" spans="1:8" x14ac:dyDescent="0.2">
      <c r="A244" s="6">
        <v>242</v>
      </c>
      <c r="B244" t="e">
        <f>MATCH($A244,part!$A$1:$A$2001,0)</f>
        <v>#N/A</v>
      </c>
      <c r="C244" t="e">
        <f t="shared" ca="1" si="18"/>
        <v>#N/A</v>
      </c>
      <c r="D244" t="e">
        <f t="shared" ca="1" si="19"/>
        <v>#N/A</v>
      </c>
      <c r="E244" t="e">
        <f t="shared" ca="1" si="20"/>
        <v>#N/A</v>
      </c>
      <c r="F244" s="6" t="e">
        <f t="shared" ca="1" si="21"/>
        <v>#N/A</v>
      </c>
      <c r="G244" t="e">
        <f t="shared" ca="1" si="22"/>
        <v>#N/A</v>
      </c>
      <c r="H244" t="e">
        <f t="shared" ca="1" si="23"/>
        <v>#N/A</v>
      </c>
    </row>
    <row r="245" spans="1:8" x14ac:dyDescent="0.2">
      <c r="A245" s="6">
        <v>243</v>
      </c>
      <c r="B245" t="e">
        <f>MATCH($A245,part!$A$1:$A$2001,0)</f>
        <v>#N/A</v>
      </c>
      <c r="C245" t="e">
        <f t="shared" ca="1" si="18"/>
        <v>#N/A</v>
      </c>
      <c r="D245" t="e">
        <f t="shared" ca="1" si="19"/>
        <v>#N/A</v>
      </c>
      <c r="E245" t="e">
        <f t="shared" ca="1" si="20"/>
        <v>#N/A</v>
      </c>
      <c r="F245" s="6" t="e">
        <f t="shared" ca="1" si="21"/>
        <v>#N/A</v>
      </c>
      <c r="G245" t="e">
        <f t="shared" ca="1" si="22"/>
        <v>#N/A</v>
      </c>
      <c r="H245" t="e">
        <f t="shared" ca="1" si="23"/>
        <v>#N/A</v>
      </c>
    </row>
    <row r="246" spans="1:8" x14ac:dyDescent="0.2">
      <c r="A246" s="6">
        <v>244</v>
      </c>
      <c r="B246" t="e">
        <f>MATCH($A246,part!$A$1:$A$2001,0)</f>
        <v>#N/A</v>
      </c>
      <c r="C246" t="e">
        <f t="shared" ca="1" si="18"/>
        <v>#N/A</v>
      </c>
      <c r="D246" t="e">
        <f t="shared" ca="1" si="19"/>
        <v>#N/A</v>
      </c>
      <c r="E246" t="e">
        <f t="shared" ca="1" si="20"/>
        <v>#N/A</v>
      </c>
      <c r="F246" s="6" t="e">
        <f t="shared" ca="1" si="21"/>
        <v>#N/A</v>
      </c>
      <c r="G246" t="e">
        <f t="shared" ca="1" si="22"/>
        <v>#N/A</v>
      </c>
      <c r="H246" t="e">
        <f t="shared" ca="1" si="23"/>
        <v>#N/A</v>
      </c>
    </row>
    <row r="247" spans="1:8" x14ac:dyDescent="0.2">
      <c r="A247" s="6">
        <v>245</v>
      </c>
      <c r="B247" t="e">
        <f>MATCH($A247,part!$A$1:$A$2001,0)</f>
        <v>#N/A</v>
      </c>
      <c r="C247" t="e">
        <f t="shared" ca="1" si="18"/>
        <v>#N/A</v>
      </c>
      <c r="D247" t="e">
        <f t="shared" ca="1" si="19"/>
        <v>#N/A</v>
      </c>
      <c r="E247" t="e">
        <f t="shared" ca="1" si="20"/>
        <v>#N/A</v>
      </c>
      <c r="F247" s="6" t="e">
        <f t="shared" ca="1" si="21"/>
        <v>#N/A</v>
      </c>
      <c r="G247" t="e">
        <f t="shared" ca="1" si="22"/>
        <v>#N/A</v>
      </c>
      <c r="H247" t="e">
        <f t="shared" ca="1" si="23"/>
        <v>#N/A</v>
      </c>
    </row>
    <row r="248" spans="1:8" x14ac:dyDescent="0.2">
      <c r="A248" s="6">
        <v>246</v>
      </c>
      <c r="B248" t="e">
        <f>MATCH($A248,part!$A$1:$A$2001,0)</f>
        <v>#N/A</v>
      </c>
      <c r="C248" t="e">
        <f t="shared" ca="1" si="18"/>
        <v>#N/A</v>
      </c>
      <c r="D248" t="e">
        <f t="shared" ca="1" si="19"/>
        <v>#N/A</v>
      </c>
      <c r="E248" t="e">
        <f t="shared" ca="1" si="20"/>
        <v>#N/A</v>
      </c>
      <c r="F248" s="6" t="e">
        <f t="shared" ca="1" si="21"/>
        <v>#N/A</v>
      </c>
      <c r="G248" t="e">
        <f t="shared" ca="1" si="22"/>
        <v>#N/A</v>
      </c>
      <c r="H248" t="e">
        <f t="shared" ca="1" si="23"/>
        <v>#N/A</v>
      </c>
    </row>
    <row r="249" spans="1:8" x14ac:dyDescent="0.2">
      <c r="A249" s="6">
        <v>247</v>
      </c>
      <c r="B249" t="e">
        <f>MATCH($A249,part!$A$1:$A$2001,0)</f>
        <v>#N/A</v>
      </c>
      <c r="C249" t="e">
        <f t="shared" ca="1" si="18"/>
        <v>#N/A</v>
      </c>
      <c r="D249" t="e">
        <f t="shared" ca="1" si="19"/>
        <v>#N/A</v>
      </c>
      <c r="E249" t="e">
        <f t="shared" ca="1" si="20"/>
        <v>#N/A</v>
      </c>
      <c r="F249" s="6" t="e">
        <f t="shared" ca="1" si="21"/>
        <v>#N/A</v>
      </c>
      <c r="G249" t="e">
        <f t="shared" ca="1" si="22"/>
        <v>#N/A</v>
      </c>
      <c r="H249" t="e">
        <f t="shared" ca="1" si="23"/>
        <v>#N/A</v>
      </c>
    </row>
    <row r="250" spans="1:8" x14ac:dyDescent="0.2">
      <c r="A250" s="6">
        <v>248</v>
      </c>
      <c r="B250" t="e">
        <f>MATCH($A250,part!$A$1:$A$2001,0)</f>
        <v>#N/A</v>
      </c>
      <c r="C250" t="e">
        <f t="shared" ca="1" si="18"/>
        <v>#N/A</v>
      </c>
      <c r="D250" t="e">
        <f t="shared" ca="1" si="19"/>
        <v>#N/A</v>
      </c>
      <c r="E250" t="e">
        <f t="shared" ca="1" si="20"/>
        <v>#N/A</v>
      </c>
      <c r="F250" s="6" t="e">
        <f t="shared" ca="1" si="21"/>
        <v>#N/A</v>
      </c>
      <c r="G250" t="e">
        <f t="shared" ca="1" si="22"/>
        <v>#N/A</v>
      </c>
      <c r="H250" t="e">
        <f t="shared" ca="1" si="23"/>
        <v>#N/A</v>
      </c>
    </row>
    <row r="251" spans="1:8" x14ac:dyDescent="0.2">
      <c r="A251" s="6">
        <v>249</v>
      </c>
      <c r="B251" t="e">
        <f>MATCH($A251,part!$A$1:$A$2001,0)</f>
        <v>#N/A</v>
      </c>
      <c r="C251" t="e">
        <f t="shared" ca="1" si="18"/>
        <v>#N/A</v>
      </c>
      <c r="D251" t="e">
        <f t="shared" ca="1" si="19"/>
        <v>#N/A</v>
      </c>
      <c r="E251" t="e">
        <f t="shared" ca="1" si="20"/>
        <v>#N/A</v>
      </c>
      <c r="F251" s="6" t="e">
        <f t="shared" ca="1" si="21"/>
        <v>#N/A</v>
      </c>
      <c r="G251" t="e">
        <f t="shared" ca="1" si="22"/>
        <v>#N/A</v>
      </c>
      <c r="H251" t="e">
        <f t="shared" ca="1" si="23"/>
        <v>#N/A</v>
      </c>
    </row>
    <row r="252" spans="1:8" x14ac:dyDescent="0.2">
      <c r="A252" s="6">
        <v>250</v>
      </c>
      <c r="B252" t="e">
        <f>MATCH($A252,part!$A$1:$A$2001,0)</f>
        <v>#N/A</v>
      </c>
      <c r="C252" t="e">
        <f t="shared" ca="1" si="18"/>
        <v>#N/A</v>
      </c>
      <c r="D252" t="e">
        <f t="shared" ca="1" si="19"/>
        <v>#N/A</v>
      </c>
      <c r="E252" t="e">
        <f t="shared" ca="1" si="20"/>
        <v>#N/A</v>
      </c>
      <c r="F252" s="6" t="e">
        <f t="shared" ca="1" si="21"/>
        <v>#N/A</v>
      </c>
      <c r="G252" t="e">
        <f t="shared" ca="1" si="22"/>
        <v>#N/A</v>
      </c>
      <c r="H252" t="e">
        <f t="shared" ca="1" si="23"/>
        <v>#N/A</v>
      </c>
    </row>
    <row r="253" spans="1:8" x14ac:dyDescent="0.2">
      <c r="A253" s="6">
        <v>251</v>
      </c>
      <c r="B253" t="e">
        <f>MATCH($A253,part!$A$1:$A$2001,0)</f>
        <v>#N/A</v>
      </c>
      <c r="C253" t="e">
        <f t="shared" ca="1" si="18"/>
        <v>#N/A</v>
      </c>
      <c r="D253" t="e">
        <f t="shared" ca="1" si="19"/>
        <v>#N/A</v>
      </c>
      <c r="E253" t="e">
        <f t="shared" ca="1" si="20"/>
        <v>#N/A</v>
      </c>
      <c r="F253" s="6" t="e">
        <f t="shared" ca="1" si="21"/>
        <v>#N/A</v>
      </c>
      <c r="G253" t="e">
        <f t="shared" ca="1" si="22"/>
        <v>#N/A</v>
      </c>
      <c r="H253" t="e">
        <f t="shared" ca="1" si="23"/>
        <v>#N/A</v>
      </c>
    </row>
    <row r="254" spans="1:8" x14ac:dyDescent="0.2">
      <c r="A254" s="6">
        <v>252</v>
      </c>
      <c r="B254" t="e">
        <f>MATCH($A254,part!$A$1:$A$2001,0)</f>
        <v>#N/A</v>
      </c>
      <c r="C254" t="e">
        <f t="shared" ca="1" si="18"/>
        <v>#N/A</v>
      </c>
      <c r="D254" t="e">
        <f t="shared" ca="1" si="19"/>
        <v>#N/A</v>
      </c>
      <c r="E254" t="e">
        <f t="shared" ca="1" si="20"/>
        <v>#N/A</v>
      </c>
      <c r="F254" s="6" t="e">
        <f t="shared" ca="1" si="21"/>
        <v>#N/A</v>
      </c>
      <c r="G254" t="e">
        <f t="shared" ca="1" si="22"/>
        <v>#N/A</v>
      </c>
      <c r="H254" t="e">
        <f t="shared" ca="1" si="23"/>
        <v>#N/A</v>
      </c>
    </row>
    <row r="255" spans="1:8" x14ac:dyDescent="0.2">
      <c r="A255" s="6">
        <v>253</v>
      </c>
      <c r="B255" t="e">
        <f>MATCH($A255,part!$A$1:$A$2001,0)</f>
        <v>#N/A</v>
      </c>
      <c r="C255" t="e">
        <f t="shared" ca="1" si="18"/>
        <v>#N/A</v>
      </c>
      <c r="D255" t="e">
        <f t="shared" ca="1" si="19"/>
        <v>#N/A</v>
      </c>
      <c r="E255" t="e">
        <f t="shared" ca="1" si="20"/>
        <v>#N/A</v>
      </c>
      <c r="F255" s="6" t="e">
        <f t="shared" ca="1" si="21"/>
        <v>#N/A</v>
      </c>
      <c r="G255" t="e">
        <f t="shared" ca="1" si="22"/>
        <v>#N/A</v>
      </c>
      <c r="H255" t="e">
        <f t="shared" ca="1" si="23"/>
        <v>#N/A</v>
      </c>
    </row>
    <row r="256" spans="1:8" x14ac:dyDescent="0.2">
      <c r="A256" s="6">
        <v>254</v>
      </c>
      <c r="B256" t="e">
        <f>MATCH($A256,part!$A$1:$A$2001,0)</f>
        <v>#N/A</v>
      </c>
      <c r="C256" t="e">
        <f t="shared" ca="1" si="18"/>
        <v>#N/A</v>
      </c>
      <c r="D256" t="e">
        <f t="shared" ca="1" si="19"/>
        <v>#N/A</v>
      </c>
      <c r="E256" t="e">
        <f t="shared" ca="1" si="20"/>
        <v>#N/A</v>
      </c>
      <c r="F256" s="6" t="e">
        <f t="shared" ca="1" si="21"/>
        <v>#N/A</v>
      </c>
      <c r="G256" t="e">
        <f t="shared" ca="1" si="22"/>
        <v>#N/A</v>
      </c>
      <c r="H256" t="e">
        <f t="shared" ca="1" si="23"/>
        <v>#N/A</v>
      </c>
    </row>
    <row r="257" spans="1:8" x14ac:dyDescent="0.2">
      <c r="A257" s="6">
        <v>255</v>
      </c>
      <c r="B257" t="e">
        <f>MATCH($A257,part!$A$1:$A$2001,0)</f>
        <v>#N/A</v>
      </c>
      <c r="C257" t="e">
        <f t="shared" ca="1" si="18"/>
        <v>#N/A</v>
      </c>
      <c r="D257" t="e">
        <f t="shared" ca="1" si="19"/>
        <v>#N/A</v>
      </c>
      <c r="E257" t="e">
        <f t="shared" ca="1" si="20"/>
        <v>#N/A</v>
      </c>
      <c r="F257" s="6" t="e">
        <f t="shared" ca="1" si="21"/>
        <v>#N/A</v>
      </c>
      <c r="G257" t="e">
        <f t="shared" ca="1" si="22"/>
        <v>#N/A</v>
      </c>
      <c r="H257" t="e">
        <f t="shared" ca="1" si="23"/>
        <v>#N/A</v>
      </c>
    </row>
    <row r="258" spans="1:8" x14ac:dyDescent="0.2">
      <c r="A258" s="6">
        <v>256</v>
      </c>
      <c r="B258" t="e">
        <f>MATCH($A258,part!$A$1:$A$2001,0)</f>
        <v>#N/A</v>
      </c>
      <c r="C258" t="e">
        <f t="shared" ref="C258:C321" ca="1" si="24">INDIRECT(ADDRESS($B258,2,,,"part"))</f>
        <v>#N/A</v>
      </c>
      <c r="D258" t="e">
        <f t="shared" ref="D258:D321" ca="1" si="25">INDIRECT(ADDRESS($B258,3,,,"part"))</f>
        <v>#N/A</v>
      </c>
      <c r="E258" t="e">
        <f t="shared" ref="E258:E321" ca="1" si="26">INDIRECT(ADDRESS($D258+1,2,,,"[namespace.xlsx]part type"))</f>
        <v>#N/A</v>
      </c>
      <c r="F258" s="6" t="e">
        <f t="shared" ref="F258:F321" ca="1" si="27">INDIRECT(ADDRESS($B258,4,,,"part"))</f>
        <v>#N/A</v>
      </c>
      <c r="G258" t="e">
        <f t="shared" ref="G258:G321" ca="1" si="28">IF($F258&gt;=0,INDIRECT(ADDRESS($F258+2,2,,,"comp")),-1)</f>
        <v>#N/A</v>
      </c>
      <c r="H258" t="e">
        <f t="shared" ref="H258:H321" ca="1" si="29">INDIRECT(ADDRESS($G258+2,2,,,"[namespace.xlsx]comp type"))</f>
        <v>#N/A</v>
      </c>
    </row>
    <row r="259" spans="1:8" x14ac:dyDescent="0.2">
      <c r="A259" s="6">
        <v>257</v>
      </c>
      <c r="B259" t="e">
        <f>MATCH($A259,part!$A$1:$A$2001,0)</f>
        <v>#N/A</v>
      </c>
      <c r="C259" t="e">
        <f t="shared" ca="1" si="24"/>
        <v>#N/A</v>
      </c>
      <c r="D259" t="e">
        <f t="shared" ca="1" si="25"/>
        <v>#N/A</v>
      </c>
      <c r="E259" t="e">
        <f t="shared" ca="1" si="26"/>
        <v>#N/A</v>
      </c>
      <c r="F259" s="6" t="e">
        <f t="shared" ca="1" si="27"/>
        <v>#N/A</v>
      </c>
      <c r="G259" t="e">
        <f t="shared" ca="1" si="28"/>
        <v>#N/A</v>
      </c>
      <c r="H259" t="e">
        <f t="shared" ca="1" si="29"/>
        <v>#N/A</v>
      </c>
    </row>
    <row r="260" spans="1:8" x14ac:dyDescent="0.2">
      <c r="A260" s="6">
        <v>258</v>
      </c>
      <c r="B260" t="e">
        <f>MATCH($A260,part!$A$1:$A$2001,0)</f>
        <v>#N/A</v>
      </c>
      <c r="C260" t="e">
        <f t="shared" ca="1" si="24"/>
        <v>#N/A</v>
      </c>
      <c r="D260" t="e">
        <f t="shared" ca="1" si="25"/>
        <v>#N/A</v>
      </c>
      <c r="E260" t="e">
        <f t="shared" ca="1" si="26"/>
        <v>#N/A</v>
      </c>
      <c r="F260" s="6" t="e">
        <f t="shared" ca="1" si="27"/>
        <v>#N/A</v>
      </c>
      <c r="G260" t="e">
        <f t="shared" ca="1" si="28"/>
        <v>#N/A</v>
      </c>
      <c r="H260" t="e">
        <f t="shared" ca="1" si="29"/>
        <v>#N/A</v>
      </c>
    </row>
    <row r="261" spans="1:8" x14ac:dyDescent="0.2">
      <c r="A261" s="6">
        <v>259</v>
      </c>
      <c r="B261" t="e">
        <f>MATCH($A261,part!$A$1:$A$2001,0)</f>
        <v>#N/A</v>
      </c>
      <c r="C261" t="e">
        <f t="shared" ca="1" si="24"/>
        <v>#N/A</v>
      </c>
      <c r="D261" t="e">
        <f t="shared" ca="1" si="25"/>
        <v>#N/A</v>
      </c>
      <c r="E261" t="e">
        <f t="shared" ca="1" si="26"/>
        <v>#N/A</v>
      </c>
      <c r="F261" s="6" t="e">
        <f t="shared" ca="1" si="27"/>
        <v>#N/A</v>
      </c>
      <c r="G261" t="e">
        <f t="shared" ca="1" si="28"/>
        <v>#N/A</v>
      </c>
      <c r="H261" t="e">
        <f t="shared" ca="1" si="29"/>
        <v>#N/A</v>
      </c>
    </row>
    <row r="262" spans="1:8" x14ac:dyDescent="0.2">
      <c r="A262" s="6">
        <v>260</v>
      </c>
      <c r="B262" t="e">
        <f>MATCH($A262,part!$A$1:$A$2001,0)</f>
        <v>#N/A</v>
      </c>
      <c r="C262" t="e">
        <f t="shared" ca="1" si="24"/>
        <v>#N/A</v>
      </c>
      <c r="D262" t="e">
        <f t="shared" ca="1" si="25"/>
        <v>#N/A</v>
      </c>
      <c r="E262" t="e">
        <f t="shared" ca="1" si="26"/>
        <v>#N/A</v>
      </c>
      <c r="F262" s="6" t="e">
        <f t="shared" ca="1" si="27"/>
        <v>#N/A</v>
      </c>
      <c r="G262" t="e">
        <f t="shared" ca="1" si="28"/>
        <v>#N/A</v>
      </c>
      <c r="H262" t="e">
        <f t="shared" ca="1" si="29"/>
        <v>#N/A</v>
      </c>
    </row>
    <row r="263" spans="1:8" x14ac:dyDescent="0.2">
      <c r="A263" s="6">
        <v>261</v>
      </c>
      <c r="B263" t="e">
        <f>MATCH($A263,part!$A$1:$A$2001,0)</f>
        <v>#N/A</v>
      </c>
      <c r="C263" t="e">
        <f t="shared" ca="1" si="24"/>
        <v>#N/A</v>
      </c>
      <c r="D263" t="e">
        <f t="shared" ca="1" si="25"/>
        <v>#N/A</v>
      </c>
      <c r="E263" t="e">
        <f t="shared" ca="1" si="26"/>
        <v>#N/A</v>
      </c>
      <c r="F263" s="6" t="e">
        <f t="shared" ca="1" si="27"/>
        <v>#N/A</v>
      </c>
      <c r="G263" t="e">
        <f t="shared" ca="1" si="28"/>
        <v>#N/A</v>
      </c>
      <c r="H263" t="e">
        <f t="shared" ca="1" si="29"/>
        <v>#N/A</v>
      </c>
    </row>
    <row r="264" spans="1:8" x14ac:dyDescent="0.2">
      <c r="A264" s="6">
        <v>262</v>
      </c>
      <c r="B264" t="e">
        <f>MATCH($A264,part!$A$1:$A$2001,0)</f>
        <v>#N/A</v>
      </c>
      <c r="C264" t="e">
        <f t="shared" ca="1" si="24"/>
        <v>#N/A</v>
      </c>
      <c r="D264" t="e">
        <f t="shared" ca="1" si="25"/>
        <v>#N/A</v>
      </c>
      <c r="E264" t="e">
        <f t="shared" ca="1" si="26"/>
        <v>#N/A</v>
      </c>
      <c r="F264" s="6" t="e">
        <f t="shared" ca="1" si="27"/>
        <v>#N/A</v>
      </c>
      <c r="G264" t="e">
        <f t="shared" ca="1" si="28"/>
        <v>#N/A</v>
      </c>
      <c r="H264" t="e">
        <f t="shared" ca="1" si="29"/>
        <v>#N/A</v>
      </c>
    </row>
    <row r="265" spans="1:8" x14ac:dyDescent="0.2">
      <c r="A265" s="6">
        <v>263</v>
      </c>
      <c r="B265" t="e">
        <f>MATCH($A265,part!$A$1:$A$2001,0)</f>
        <v>#N/A</v>
      </c>
      <c r="C265" t="e">
        <f t="shared" ca="1" si="24"/>
        <v>#N/A</v>
      </c>
      <c r="D265" t="e">
        <f t="shared" ca="1" si="25"/>
        <v>#N/A</v>
      </c>
      <c r="E265" t="e">
        <f t="shared" ca="1" si="26"/>
        <v>#N/A</v>
      </c>
      <c r="F265" s="6" t="e">
        <f t="shared" ca="1" si="27"/>
        <v>#N/A</v>
      </c>
      <c r="G265" t="e">
        <f t="shared" ca="1" si="28"/>
        <v>#N/A</v>
      </c>
      <c r="H265" t="e">
        <f t="shared" ca="1" si="29"/>
        <v>#N/A</v>
      </c>
    </row>
    <row r="266" spans="1:8" x14ac:dyDescent="0.2">
      <c r="A266" s="6">
        <v>264</v>
      </c>
      <c r="B266" t="e">
        <f>MATCH($A266,part!$A$1:$A$2001,0)</f>
        <v>#N/A</v>
      </c>
      <c r="C266" t="e">
        <f t="shared" ca="1" si="24"/>
        <v>#N/A</v>
      </c>
      <c r="D266" t="e">
        <f t="shared" ca="1" si="25"/>
        <v>#N/A</v>
      </c>
      <c r="E266" t="e">
        <f t="shared" ca="1" si="26"/>
        <v>#N/A</v>
      </c>
      <c r="F266" s="6" t="e">
        <f t="shared" ca="1" si="27"/>
        <v>#N/A</v>
      </c>
      <c r="G266" t="e">
        <f t="shared" ca="1" si="28"/>
        <v>#N/A</v>
      </c>
      <c r="H266" t="e">
        <f t="shared" ca="1" si="29"/>
        <v>#N/A</v>
      </c>
    </row>
    <row r="267" spans="1:8" x14ac:dyDescent="0.2">
      <c r="A267" s="6">
        <v>265</v>
      </c>
      <c r="B267" t="e">
        <f>MATCH($A267,part!$A$1:$A$2001,0)</f>
        <v>#N/A</v>
      </c>
      <c r="C267" t="e">
        <f t="shared" ca="1" si="24"/>
        <v>#N/A</v>
      </c>
      <c r="D267" t="e">
        <f t="shared" ca="1" si="25"/>
        <v>#N/A</v>
      </c>
      <c r="E267" t="e">
        <f t="shared" ca="1" si="26"/>
        <v>#N/A</v>
      </c>
      <c r="F267" s="6" t="e">
        <f t="shared" ca="1" si="27"/>
        <v>#N/A</v>
      </c>
      <c r="G267" t="e">
        <f t="shared" ca="1" si="28"/>
        <v>#N/A</v>
      </c>
      <c r="H267" t="e">
        <f t="shared" ca="1" si="29"/>
        <v>#N/A</v>
      </c>
    </row>
    <row r="268" spans="1:8" x14ac:dyDescent="0.2">
      <c r="A268" s="6">
        <v>266</v>
      </c>
      <c r="B268" t="e">
        <f>MATCH($A268,part!$A$1:$A$2001,0)</f>
        <v>#N/A</v>
      </c>
      <c r="C268" t="e">
        <f t="shared" ca="1" si="24"/>
        <v>#N/A</v>
      </c>
      <c r="D268" t="e">
        <f t="shared" ca="1" si="25"/>
        <v>#N/A</v>
      </c>
      <c r="E268" t="e">
        <f t="shared" ca="1" si="26"/>
        <v>#N/A</v>
      </c>
      <c r="F268" s="6" t="e">
        <f t="shared" ca="1" si="27"/>
        <v>#N/A</v>
      </c>
      <c r="G268" t="e">
        <f t="shared" ca="1" si="28"/>
        <v>#N/A</v>
      </c>
      <c r="H268" t="e">
        <f t="shared" ca="1" si="29"/>
        <v>#N/A</v>
      </c>
    </row>
    <row r="269" spans="1:8" x14ac:dyDescent="0.2">
      <c r="A269" s="6">
        <v>267</v>
      </c>
      <c r="B269" t="e">
        <f>MATCH($A269,part!$A$1:$A$2001,0)</f>
        <v>#N/A</v>
      </c>
      <c r="C269" t="e">
        <f t="shared" ca="1" si="24"/>
        <v>#N/A</v>
      </c>
      <c r="D269" t="e">
        <f t="shared" ca="1" si="25"/>
        <v>#N/A</v>
      </c>
      <c r="E269" t="e">
        <f t="shared" ca="1" si="26"/>
        <v>#N/A</v>
      </c>
      <c r="F269" s="6" t="e">
        <f t="shared" ca="1" si="27"/>
        <v>#N/A</v>
      </c>
      <c r="G269" t="e">
        <f t="shared" ca="1" si="28"/>
        <v>#N/A</v>
      </c>
      <c r="H269" t="e">
        <f t="shared" ca="1" si="29"/>
        <v>#N/A</v>
      </c>
    </row>
    <row r="270" spans="1:8" x14ac:dyDescent="0.2">
      <c r="A270" s="6">
        <v>268</v>
      </c>
      <c r="B270" t="e">
        <f>MATCH($A270,part!$A$1:$A$2001,0)</f>
        <v>#N/A</v>
      </c>
      <c r="C270" t="e">
        <f t="shared" ca="1" si="24"/>
        <v>#N/A</v>
      </c>
      <c r="D270" t="e">
        <f t="shared" ca="1" si="25"/>
        <v>#N/A</v>
      </c>
      <c r="E270" t="e">
        <f t="shared" ca="1" si="26"/>
        <v>#N/A</v>
      </c>
      <c r="F270" s="6" t="e">
        <f t="shared" ca="1" si="27"/>
        <v>#N/A</v>
      </c>
      <c r="G270" t="e">
        <f t="shared" ca="1" si="28"/>
        <v>#N/A</v>
      </c>
      <c r="H270" t="e">
        <f t="shared" ca="1" si="29"/>
        <v>#N/A</v>
      </c>
    </row>
    <row r="271" spans="1:8" x14ac:dyDescent="0.2">
      <c r="A271" s="6">
        <v>269</v>
      </c>
      <c r="B271" t="e">
        <f>MATCH($A271,part!$A$1:$A$2001,0)</f>
        <v>#N/A</v>
      </c>
      <c r="C271" t="e">
        <f t="shared" ca="1" si="24"/>
        <v>#N/A</v>
      </c>
      <c r="D271" t="e">
        <f t="shared" ca="1" si="25"/>
        <v>#N/A</v>
      </c>
      <c r="E271" t="e">
        <f t="shared" ca="1" si="26"/>
        <v>#N/A</v>
      </c>
      <c r="F271" s="6" t="e">
        <f t="shared" ca="1" si="27"/>
        <v>#N/A</v>
      </c>
      <c r="G271" t="e">
        <f t="shared" ca="1" si="28"/>
        <v>#N/A</v>
      </c>
      <c r="H271" t="e">
        <f t="shared" ca="1" si="29"/>
        <v>#N/A</v>
      </c>
    </row>
    <row r="272" spans="1:8" x14ac:dyDescent="0.2">
      <c r="A272" s="6">
        <v>270</v>
      </c>
      <c r="B272" t="e">
        <f>MATCH($A272,part!$A$1:$A$2001,0)</f>
        <v>#N/A</v>
      </c>
      <c r="C272" t="e">
        <f t="shared" ca="1" si="24"/>
        <v>#N/A</v>
      </c>
      <c r="D272" t="e">
        <f t="shared" ca="1" si="25"/>
        <v>#N/A</v>
      </c>
      <c r="E272" t="e">
        <f t="shared" ca="1" si="26"/>
        <v>#N/A</v>
      </c>
      <c r="F272" s="6" t="e">
        <f t="shared" ca="1" si="27"/>
        <v>#N/A</v>
      </c>
      <c r="G272" t="e">
        <f t="shared" ca="1" si="28"/>
        <v>#N/A</v>
      </c>
      <c r="H272" t="e">
        <f t="shared" ca="1" si="29"/>
        <v>#N/A</v>
      </c>
    </row>
    <row r="273" spans="1:8" x14ac:dyDescent="0.2">
      <c r="A273" s="6">
        <v>271</v>
      </c>
      <c r="B273" t="e">
        <f>MATCH($A273,part!$A$1:$A$2001,0)</f>
        <v>#N/A</v>
      </c>
      <c r="C273" t="e">
        <f t="shared" ca="1" si="24"/>
        <v>#N/A</v>
      </c>
      <c r="D273" t="e">
        <f t="shared" ca="1" si="25"/>
        <v>#N/A</v>
      </c>
      <c r="E273" t="e">
        <f t="shared" ca="1" si="26"/>
        <v>#N/A</v>
      </c>
      <c r="F273" s="6" t="e">
        <f t="shared" ca="1" si="27"/>
        <v>#N/A</v>
      </c>
      <c r="G273" t="e">
        <f t="shared" ca="1" si="28"/>
        <v>#N/A</v>
      </c>
      <c r="H273" t="e">
        <f t="shared" ca="1" si="29"/>
        <v>#N/A</v>
      </c>
    </row>
    <row r="274" spans="1:8" x14ac:dyDescent="0.2">
      <c r="A274" s="6">
        <v>272</v>
      </c>
      <c r="B274" t="e">
        <f>MATCH($A274,part!$A$1:$A$2001,0)</f>
        <v>#N/A</v>
      </c>
      <c r="C274" t="e">
        <f t="shared" ca="1" si="24"/>
        <v>#N/A</v>
      </c>
      <c r="D274" t="e">
        <f t="shared" ca="1" si="25"/>
        <v>#N/A</v>
      </c>
      <c r="E274" t="e">
        <f t="shared" ca="1" si="26"/>
        <v>#N/A</v>
      </c>
      <c r="F274" s="6" t="e">
        <f t="shared" ca="1" si="27"/>
        <v>#N/A</v>
      </c>
      <c r="G274" t="e">
        <f t="shared" ca="1" si="28"/>
        <v>#N/A</v>
      </c>
      <c r="H274" t="e">
        <f t="shared" ca="1" si="29"/>
        <v>#N/A</v>
      </c>
    </row>
    <row r="275" spans="1:8" x14ac:dyDescent="0.2">
      <c r="A275" s="6">
        <v>273</v>
      </c>
      <c r="B275" t="e">
        <f>MATCH($A275,part!$A$1:$A$2001,0)</f>
        <v>#N/A</v>
      </c>
      <c r="C275" t="e">
        <f t="shared" ca="1" si="24"/>
        <v>#N/A</v>
      </c>
      <c r="D275" t="e">
        <f t="shared" ca="1" si="25"/>
        <v>#N/A</v>
      </c>
      <c r="E275" t="e">
        <f t="shared" ca="1" si="26"/>
        <v>#N/A</v>
      </c>
      <c r="F275" s="6" t="e">
        <f t="shared" ca="1" si="27"/>
        <v>#N/A</v>
      </c>
      <c r="G275" t="e">
        <f t="shared" ca="1" si="28"/>
        <v>#N/A</v>
      </c>
      <c r="H275" t="e">
        <f t="shared" ca="1" si="29"/>
        <v>#N/A</v>
      </c>
    </row>
    <row r="276" spans="1:8" x14ac:dyDescent="0.2">
      <c r="A276" s="6">
        <v>274</v>
      </c>
      <c r="B276" t="e">
        <f>MATCH($A276,part!$A$1:$A$2001,0)</f>
        <v>#N/A</v>
      </c>
      <c r="C276" t="e">
        <f t="shared" ca="1" si="24"/>
        <v>#N/A</v>
      </c>
      <c r="D276" t="e">
        <f t="shared" ca="1" si="25"/>
        <v>#N/A</v>
      </c>
      <c r="E276" t="e">
        <f t="shared" ca="1" si="26"/>
        <v>#N/A</v>
      </c>
      <c r="F276" s="6" t="e">
        <f t="shared" ca="1" si="27"/>
        <v>#N/A</v>
      </c>
      <c r="G276" t="e">
        <f t="shared" ca="1" si="28"/>
        <v>#N/A</v>
      </c>
      <c r="H276" t="e">
        <f t="shared" ca="1" si="29"/>
        <v>#N/A</v>
      </c>
    </row>
    <row r="277" spans="1:8" x14ac:dyDescent="0.2">
      <c r="A277" s="6">
        <v>275</v>
      </c>
      <c r="B277" t="e">
        <f>MATCH($A277,part!$A$1:$A$2001,0)</f>
        <v>#N/A</v>
      </c>
      <c r="C277" t="e">
        <f t="shared" ca="1" si="24"/>
        <v>#N/A</v>
      </c>
      <c r="D277" t="e">
        <f t="shared" ca="1" si="25"/>
        <v>#N/A</v>
      </c>
      <c r="E277" t="e">
        <f t="shared" ca="1" si="26"/>
        <v>#N/A</v>
      </c>
      <c r="F277" s="6" t="e">
        <f t="shared" ca="1" si="27"/>
        <v>#N/A</v>
      </c>
      <c r="G277" t="e">
        <f t="shared" ca="1" si="28"/>
        <v>#N/A</v>
      </c>
      <c r="H277" t="e">
        <f t="shared" ca="1" si="29"/>
        <v>#N/A</v>
      </c>
    </row>
    <row r="278" spans="1:8" x14ac:dyDescent="0.2">
      <c r="A278" s="6">
        <v>276</v>
      </c>
      <c r="B278" t="e">
        <f>MATCH($A278,part!$A$1:$A$2001,0)</f>
        <v>#N/A</v>
      </c>
      <c r="C278" t="e">
        <f t="shared" ca="1" si="24"/>
        <v>#N/A</v>
      </c>
      <c r="D278" t="e">
        <f t="shared" ca="1" si="25"/>
        <v>#N/A</v>
      </c>
      <c r="E278" t="e">
        <f t="shared" ca="1" si="26"/>
        <v>#N/A</v>
      </c>
      <c r="F278" s="6" t="e">
        <f t="shared" ca="1" si="27"/>
        <v>#N/A</v>
      </c>
      <c r="G278" t="e">
        <f t="shared" ca="1" si="28"/>
        <v>#N/A</v>
      </c>
      <c r="H278" t="e">
        <f t="shared" ca="1" si="29"/>
        <v>#N/A</v>
      </c>
    </row>
    <row r="279" spans="1:8" x14ac:dyDescent="0.2">
      <c r="A279" s="6">
        <v>277</v>
      </c>
      <c r="B279" t="e">
        <f>MATCH($A279,part!$A$1:$A$2001,0)</f>
        <v>#N/A</v>
      </c>
      <c r="C279" t="e">
        <f t="shared" ca="1" si="24"/>
        <v>#N/A</v>
      </c>
      <c r="D279" t="e">
        <f t="shared" ca="1" si="25"/>
        <v>#N/A</v>
      </c>
      <c r="E279" t="e">
        <f t="shared" ca="1" si="26"/>
        <v>#N/A</v>
      </c>
      <c r="F279" s="6" t="e">
        <f t="shared" ca="1" si="27"/>
        <v>#N/A</v>
      </c>
      <c r="G279" t="e">
        <f t="shared" ca="1" si="28"/>
        <v>#N/A</v>
      </c>
      <c r="H279" t="e">
        <f t="shared" ca="1" si="29"/>
        <v>#N/A</v>
      </c>
    </row>
    <row r="280" spans="1:8" x14ac:dyDescent="0.2">
      <c r="A280" s="6">
        <v>278</v>
      </c>
      <c r="B280" t="e">
        <f>MATCH($A280,part!$A$1:$A$2001,0)</f>
        <v>#N/A</v>
      </c>
      <c r="C280" t="e">
        <f t="shared" ca="1" si="24"/>
        <v>#N/A</v>
      </c>
      <c r="D280" t="e">
        <f t="shared" ca="1" si="25"/>
        <v>#N/A</v>
      </c>
      <c r="E280" t="e">
        <f t="shared" ca="1" si="26"/>
        <v>#N/A</v>
      </c>
      <c r="F280" s="6" t="e">
        <f t="shared" ca="1" si="27"/>
        <v>#N/A</v>
      </c>
      <c r="G280" t="e">
        <f t="shared" ca="1" si="28"/>
        <v>#N/A</v>
      </c>
      <c r="H280" t="e">
        <f t="shared" ca="1" si="29"/>
        <v>#N/A</v>
      </c>
    </row>
    <row r="281" spans="1:8" x14ac:dyDescent="0.2">
      <c r="A281" s="6">
        <v>279</v>
      </c>
      <c r="B281" t="e">
        <f>MATCH($A281,part!$A$1:$A$2001,0)</f>
        <v>#N/A</v>
      </c>
      <c r="C281" t="e">
        <f t="shared" ca="1" si="24"/>
        <v>#N/A</v>
      </c>
      <c r="D281" t="e">
        <f t="shared" ca="1" si="25"/>
        <v>#N/A</v>
      </c>
      <c r="E281" t="e">
        <f t="shared" ca="1" si="26"/>
        <v>#N/A</v>
      </c>
      <c r="F281" s="6" t="e">
        <f t="shared" ca="1" si="27"/>
        <v>#N/A</v>
      </c>
      <c r="G281" t="e">
        <f t="shared" ca="1" si="28"/>
        <v>#N/A</v>
      </c>
      <c r="H281" t="e">
        <f t="shared" ca="1" si="29"/>
        <v>#N/A</v>
      </c>
    </row>
    <row r="282" spans="1:8" x14ac:dyDescent="0.2">
      <c r="A282" s="6">
        <v>280</v>
      </c>
      <c r="B282" t="e">
        <f>MATCH($A282,part!$A$1:$A$2001,0)</f>
        <v>#N/A</v>
      </c>
      <c r="C282" t="e">
        <f t="shared" ca="1" si="24"/>
        <v>#N/A</v>
      </c>
      <c r="D282" t="e">
        <f t="shared" ca="1" si="25"/>
        <v>#N/A</v>
      </c>
      <c r="E282" t="e">
        <f t="shared" ca="1" si="26"/>
        <v>#N/A</v>
      </c>
      <c r="F282" s="6" t="e">
        <f t="shared" ca="1" si="27"/>
        <v>#N/A</v>
      </c>
      <c r="G282" t="e">
        <f t="shared" ca="1" si="28"/>
        <v>#N/A</v>
      </c>
      <c r="H282" t="e">
        <f t="shared" ca="1" si="29"/>
        <v>#N/A</v>
      </c>
    </row>
    <row r="283" spans="1:8" x14ac:dyDescent="0.2">
      <c r="A283" s="6">
        <v>281</v>
      </c>
      <c r="B283" t="e">
        <f>MATCH($A283,part!$A$1:$A$2001,0)</f>
        <v>#N/A</v>
      </c>
      <c r="C283" t="e">
        <f t="shared" ca="1" si="24"/>
        <v>#N/A</v>
      </c>
      <c r="D283" t="e">
        <f t="shared" ca="1" si="25"/>
        <v>#N/A</v>
      </c>
      <c r="E283" t="e">
        <f t="shared" ca="1" si="26"/>
        <v>#N/A</v>
      </c>
      <c r="F283" s="6" t="e">
        <f t="shared" ca="1" si="27"/>
        <v>#N/A</v>
      </c>
      <c r="G283" t="e">
        <f t="shared" ca="1" si="28"/>
        <v>#N/A</v>
      </c>
      <c r="H283" t="e">
        <f t="shared" ca="1" si="29"/>
        <v>#N/A</v>
      </c>
    </row>
    <row r="284" spans="1:8" x14ac:dyDescent="0.2">
      <c r="A284" s="6">
        <v>282</v>
      </c>
      <c r="B284" t="e">
        <f>MATCH($A284,part!$A$1:$A$2001,0)</f>
        <v>#N/A</v>
      </c>
      <c r="C284" t="e">
        <f t="shared" ca="1" si="24"/>
        <v>#N/A</v>
      </c>
      <c r="D284" t="e">
        <f t="shared" ca="1" si="25"/>
        <v>#N/A</v>
      </c>
      <c r="E284" t="e">
        <f t="shared" ca="1" si="26"/>
        <v>#N/A</v>
      </c>
      <c r="F284" s="6" t="e">
        <f t="shared" ca="1" si="27"/>
        <v>#N/A</v>
      </c>
      <c r="G284" t="e">
        <f t="shared" ca="1" si="28"/>
        <v>#N/A</v>
      </c>
      <c r="H284" t="e">
        <f t="shared" ca="1" si="29"/>
        <v>#N/A</v>
      </c>
    </row>
    <row r="285" spans="1:8" x14ac:dyDescent="0.2">
      <c r="A285" s="6">
        <v>283</v>
      </c>
      <c r="B285" t="e">
        <f>MATCH($A285,part!$A$1:$A$2001,0)</f>
        <v>#N/A</v>
      </c>
      <c r="C285" t="e">
        <f t="shared" ca="1" si="24"/>
        <v>#N/A</v>
      </c>
      <c r="D285" t="e">
        <f t="shared" ca="1" si="25"/>
        <v>#N/A</v>
      </c>
      <c r="E285" t="e">
        <f t="shared" ca="1" si="26"/>
        <v>#N/A</v>
      </c>
      <c r="F285" s="6" t="e">
        <f t="shared" ca="1" si="27"/>
        <v>#N/A</v>
      </c>
      <c r="G285" t="e">
        <f t="shared" ca="1" si="28"/>
        <v>#N/A</v>
      </c>
      <c r="H285" t="e">
        <f t="shared" ca="1" si="29"/>
        <v>#N/A</v>
      </c>
    </row>
    <row r="286" spans="1:8" x14ac:dyDescent="0.2">
      <c r="A286" s="6">
        <v>284</v>
      </c>
      <c r="B286" t="e">
        <f>MATCH($A286,part!$A$1:$A$2001,0)</f>
        <v>#N/A</v>
      </c>
      <c r="C286" t="e">
        <f t="shared" ca="1" si="24"/>
        <v>#N/A</v>
      </c>
      <c r="D286" t="e">
        <f t="shared" ca="1" si="25"/>
        <v>#N/A</v>
      </c>
      <c r="E286" t="e">
        <f t="shared" ca="1" si="26"/>
        <v>#N/A</v>
      </c>
      <c r="F286" s="6" t="e">
        <f t="shared" ca="1" si="27"/>
        <v>#N/A</v>
      </c>
      <c r="G286" t="e">
        <f t="shared" ca="1" si="28"/>
        <v>#N/A</v>
      </c>
      <c r="H286" t="e">
        <f t="shared" ca="1" si="29"/>
        <v>#N/A</v>
      </c>
    </row>
    <row r="287" spans="1:8" x14ac:dyDescent="0.2">
      <c r="A287" s="6">
        <v>285</v>
      </c>
      <c r="B287" t="e">
        <f>MATCH($A287,part!$A$1:$A$2001,0)</f>
        <v>#N/A</v>
      </c>
      <c r="C287" t="e">
        <f t="shared" ca="1" si="24"/>
        <v>#N/A</v>
      </c>
      <c r="D287" t="e">
        <f t="shared" ca="1" si="25"/>
        <v>#N/A</v>
      </c>
      <c r="E287" t="e">
        <f t="shared" ca="1" si="26"/>
        <v>#N/A</v>
      </c>
      <c r="F287" s="6" t="e">
        <f t="shared" ca="1" si="27"/>
        <v>#N/A</v>
      </c>
      <c r="G287" t="e">
        <f t="shared" ca="1" si="28"/>
        <v>#N/A</v>
      </c>
      <c r="H287" t="e">
        <f t="shared" ca="1" si="29"/>
        <v>#N/A</v>
      </c>
    </row>
    <row r="288" spans="1:8" x14ac:dyDescent="0.2">
      <c r="A288" s="6">
        <v>286</v>
      </c>
      <c r="B288" t="e">
        <f>MATCH($A288,part!$A$1:$A$2001,0)</f>
        <v>#N/A</v>
      </c>
      <c r="C288" t="e">
        <f t="shared" ca="1" si="24"/>
        <v>#N/A</v>
      </c>
      <c r="D288" t="e">
        <f t="shared" ca="1" si="25"/>
        <v>#N/A</v>
      </c>
      <c r="E288" t="e">
        <f t="shared" ca="1" si="26"/>
        <v>#N/A</v>
      </c>
      <c r="F288" s="6" t="e">
        <f t="shared" ca="1" si="27"/>
        <v>#N/A</v>
      </c>
      <c r="G288" t="e">
        <f t="shared" ca="1" si="28"/>
        <v>#N/A</v>
      </c>
      <c r="H288" t="e">
        <f t="shared" ca="1" si="29"/>
        <v>#N/A</v>
      </c>
    </row>
    <row r="289" spans="1:8" x14ac:dyDescent="0.2">
      <c r="A289" s="6">
        <v>287</v>
      </c>
      <c r="B289" t="e">
        <f>MATCH($A289,part!$A$1:$A$2001,0)</f>
        <v>#N/A</v>
      </c>
      <c r="C289" t="e">
        <f t="shared" ca="1" si="24"/>
        <v>#N/A</v>
      </c>
      <c r="D289" t="e">
        <f t="shared" ca="1" si="25"/>
        <v>#N/A</v>
      </c>
      <c r="E289" t="e">
        <f t="shared" ca="1" si="26"/>
        <v>#N/A</v>
      </c>
      <c r="F289" s="6" t="e">
        <f t="shared" ca="1" si="27"/>
        <v>#N/A</v>
      </c>
      <c r="G289" t="e">
        <f t="shared" ca="1" si="28"/>
        <v>#N/A</v>
      </c>
      <c r="H289" t="e">
        <f t="shared" ca="1" si="29"/>
        <v>#N/A</v>
      </c>
    </row>
    <row r="290" spans="1:8" x14ac:dyDescent="0.2">
      <c r="A290" s="6">
        <v>288</v>
      </c>
      <c r="B290" t="e">
        <f>MATCH($A290,part!$A$1:$A$2001,0)</f>
        <v>#N/A</v>
      </c>
      <c r="C290" t="e">
        <f t="shared" ca="1" si="24"/>
        <v>#N/A</v>
      </c>
      <c r="D290" t="e">
        <f t="shared" ca="1" si="25"/>
        <v>#N/A</v>
      </c>
      <c r="E290" t="e">
        <f t="shared" ca="1" si="26"/>
        <v>#N/A</v>
      </c>
      <c r="F290" s="6" t="e">
        <f t="shared" ca="1" si="27"/>
        <v>#N/A</v>
      </c>
      <c r="G290" t="e">
        <f t="shared" ca="1" si="28"/>
        <v>#N/A</v>
      </c>
      <c r="H290" t="e">
        <f t="shared" ca="1" si="29"/>
        <v>#N/A</v>
      </c>
    </row>
    <row r="291" spans="1:8" x14ac:dyDescent="0.2">
      <c r="A291" s="6">
        <v>289</v>
      </c>
      <c r="B291" t="e">
        <f>MATCH($A291,part!$A$1:$A$2001,0)</f>
        <v>#N/A</v>
      </c>
      <c r="C291" t="e">
        <f t="shared" ca="1" si="24"/>
        <v>#N/A</v>
      </c>
      <c r="D291" t="e">
        <f t="shared" ca="1" si="25"/>
        <v>#N/A</v>
      </c>
      <c r="E291" t="e">
        <f t="shared" ca="1" si="26"/>
        <v>#N/A</v>
      </c>
      <c r="F291" s="6" t="e">
        <f t="shared" ca="1" si="27"/>
        <v>#N/A</v>
      </c>
      <c r="G291" t="e">
        <f t="shared" ca="1" si="28"/>
        <v>#N/A</v>
      </c>
      <c r="H291" t="e">
        <f t="shared" ca="1" si="29"/>
        <v>#N/A</v>
      </c>
    </row>
    <row r="292" spans="1:8" x14ac:dyDescent="0.2">
      <c r="A292" s="6">
        <v>290</v>
      </c>
      <c r="B292" t="e">
        <f>MATCH($A292,part!$A$1:$A$2001,0)</f>
        <v>#N/A</v>
      </c>
      <c r="C292" t="e">
        <f t="shared" ca="1" si="24"/>
        <v>#N/A</v>
      </c>
      <c r="D292" t="e">
        <f t="shared" ca="1" si="25"/>
        <v>#N/A</v>
      </c>
      <c r="E292" t="e">
        <f t="shared" ca="1" si="26"/>
        <v>#N/A</v>
      </c>
      <c r="F292" s="6" t="e">
        <f t="shared" ca="1" si="27"/>
        <v>#N/A</v>
      </c>
      <c r="G292" t="e">
        <f t="shared" ca="1" si="28"/>
        <v>#N/A</v>
      </c>
      <c r="H292" t="e">
        <f t="shared" ca="1" si="29"/>
        <v>#N/A</v>
      </c>
    </row>
    <row r="293" spans="1:8" x14ac:dyDescent="0.2">
      <c r="A293" s="6">
        <v>291</v>
      </c>
      <c r="B293" t="e">
        <f>MATCH($A293,part!$A$1:$A$2001,0)</f>
        <v>#N/A</v>
      </c>
      <c r="C293" t="e">
        <f t="shared" ca="1" si="24"/>
        <v>#N/A</v>
      </c>
      <c r="D293" t="e">
        <f t="shared" ca="1" si="25"/>
        <v>#N/A</v>
      </c>
      <c r="E293" t="e">
        <f t="shared" ca="1" si="26"/>
        <v>#N/A</v>
      </c>
      <c r="F293" s="6" t="e">
        <f t="shared" ca="1" si="27"/>
        <v>#N/A</v>
      </c>
      <c r="G293" t="e">
        <f t="shared" ca="1" si="28"/>
        <v>#N/A</v>
      </c>
      <c r="H293" t="e">
        <f t="shared" ca="1" si="29"/>
        <v>#N/A</v>
      </c>
    </row>
    <row r="294" spans="1:8" x14ac:dyDescent="0.2">
      <c r="A294" s="6">
        <v>292</v>
      </c>
      <c r="B294" t="e">
        <f>MATCH($A294,part!$A$1:$A$2001,0)</f>
        <v>#N/A</v>
      </c>
      <c r="C294" t="e">
        <f t="shared" ca="1" si="24"/>
        <v>#N/A</v>
      </c>
      <c r="D294" t="e">
        <f t="shared" ca="1" si="25"/>
        <v>#N/A</v>
      </c>
      <c r="E294" t="e">
        <f t="shared" ca="1" si="26"/>
        <v>#N/A</v>
      </c>
      <c r="F294" s="6" t="e">
        <f t="shared" ca="1" si="27"/>
        <v>#N/A</v>
      </c>
      <c r="G294" t="e">
        <f t="shared" ca="1" si="28"/>
        <v>#N/A</v>
      </c>
      <c r="H294" t="e">
        <f t="shared" ca="1" si="29"/>
        <v>#N/A</v>
      </c>
    </row>
    <row r="295" spans="1:8" x14ac:dyDescent="0.2">
      <c r="A295" s="6">
        <v>293</v>
      </c>
      <c r="B295" t="e">
        <f>MATCH($A295,part!$A$1:$A$2001,0)</f>
        <v>#N/A</v>
      </c>
      <c r="C295" t="e">
        <f t="shared" ca="1" si="24"/>
        <v>#N/A</v>
      </c>
      <c r="D295" t="e">
        <f t="shared" ca="1" si="25"/>
        <v>#N/A</v>
      </c>
      <c r="E295" t="e">
        <f t="shared" ca="1" si="26"/>
        <v>#N/A</v>
      </c>
      <c r="F295" s="6" t="e">
        <f t="shared" ca="1" si="27"/>
        <v>#N/A</v>
      </c>
      <c r="G295" t="e">
        <f t="shared" ca="1" si="28"/>
        <v>#N/A</v>
      </c>
      <c r="H295" t="e">
        <f t="shared" ca="1" si="29"/>
        <v>#N/A</v>
      </c>
    </row>
    <row r="296" spans="1:8" x14ac:dyDescent="0.2">
      <c r="A296" s="6">
        <v>294</v>
      </c>
      <c r="B296" t="e">
        <f>MATCH($A296,part!$A$1:$A$2001,0)</f>
        <v>#N/A</v>
      </c>
      <c r="C296" t="e">
        <f t="shared" ca="1" si="24"/>
        <v>#N/A</v>
      </c>
      <c r="D296" t="e">
        <f t="shared" ca="1" si="25"/>
        <v>#N/A</v>
      </c>
      <c r="E296" t="e">
        <f t="shared" ca="1" si="26"/>
        <v>#N/A</v>
      </c>
      <c r="F296" s="6" t="e">
        <f t="shared" ca="1" si="27"/>
        <v>#N/A</v>
      </c>
      <c r="G296" t="e">
        <f t="shared" ca="1" si="28"/>
        <v>#N/A</v>
      </c>
      <c r="H296" t="e">
        <f t="shared" ca="1" si="29"/>
        <v>#N/A</v>
      </c>
    </row>
    <row r="297" spans="1:8" x14ac:dyDescent="0.2">
      <c r="A297" s="6">
        <v>295</v>
      </c>
      <c r="B297" t="e">
        <f>MATCH($A297,part!$A$1:$A$2001,0)</f>
        <v>#N/A</v>
      </c>
      <c r="C297" t="e">
        <f t="shared" ca="1" si="24"/>
        <v>#N/A</v>
      </c>
      <c r="D297" t="e">
        <f t="shared" ca="1" si="25"/>
        <v>#N/A</v>
      </c>
      <c r="E297" t="e">
        <f t="shared" ca="1" si="26"/>
        <v>#N/A</v>
      </c>
      <c r="F297" s="6" t="e">
        <f t="shared" ca="1" si="27"/>
        <v>#N/A</v>
      </c>
      <c r="G297" t="e">
        <f t="shared" ca="1" si="28"/>
        <v>#N/A</v>
      </c>
      <c r="H297" t="e">
        <f t="shared" ca="1" si="29"/>
        <v>#N/A</v>
      </c>
    </row>
    <row r="298" spans="1:8" x14ac:dyDescent="0.2">
      <c r="A298" s="6">
        <v>296</v>
      </c>
      <c r="B298" t="e">
        <f>MATCH($A298,part!$A$1:$A$2001,0)</f>
        <v>#N/A</v>
      </c>
      <c r="C298" t="e">
        <f t="shared" ca="1" si="24"/>
        <v>#N/A</v>
      </c>
      <c r="D298" t="e">
        <f t="shared" ca="1" si="25"/>
        <v>#N/A</v>
      </c>
      <c r="E298" t="e">
        <f t="shared" ca="1" si="26"/>
        <v>#N/A</v>
      </c>
      <c r="F298" s="6" t="e">
        <f t="shared" ca="1" si="27"/>
        <v>#N/A</v>
      </c>
      <c r="G298" t="e">
        <f t="shared" ca="1" si="28"/>
        <v>#N/A</v>
      </c>
      <c r="H298" t="e">
        <f t="shared" ca="1" si="29"/>
        <v>#N/A</v>
      </c>
    </row>
    <row r="299" spans="1:8" x14ac:dyDescent="0.2">
      <c r="A299" s="6">
        <v>297</v>
      </c>
      <c r="B299" t="e">
        <f>MATCH($A299,part!$A$1:$A$2001,0)</f>
        <v>#N/A</v>
      </c>
      <c r="C299" t="e">
        <f t="shared" ca="1" si="24"/>
        <v>#N/A</v>
      </c>
      <c r="D299" t="e">
        <f t="shared" ca="1" si="25"/>
        <v>#N/A</v>
      </c>
      <c r="E299" t="e">
        <f t="shared" ca="1" si="26"/>
        <v>#N/A</v>
      </c>
      <c r="F299" s="6" t="e">
        <f t="shared" ca="1" si="27"/>
        <v>#N/A</v>
      </c>
      <c r="G299" t="e">
        <f t="shared" ca="1" si="28"/>
        <v>#N/A</v>
      </c>
      <c r="H299" t="e">
        <f t="shared" ca="1" si="29"/>
        <v>#N/A</v>
      </c>
    </row>
    <row r="300" spans="1:8" x14ac:dyDescent="0.2">
      <c r="A300" s="6">
        <v>298</v>
      </c>
      <c r="B300" t="e">
        <f>MATCH($A300,part!$A$1:$A$2001,0)</f>
        <v>#N/A</v>
      </c>
      <c r="C300" t="e">
        <f t="shared" ca="1" si="24"/>
        <v>#N/A</v>
      </c>
      <c r="D300" t="e">
        <f t="shared" ca="1" si="25"/>
        <v>#N/A</v>
      </c>
      <c r="E300" t="e">
        <f t="shared" ca="1" si="26"/>
        <v>#N/A</v>
      </c>
      <c r="F300" s="6" t="e">
        <f t="shared" ca="1" si="27"/>
        <v>#N/A</v>
      </c>
      <c r="G300" t="e">
        <f t="shared" ca="1" si="28"/>
        <v>#N/A</v>
      </c>
      <c r="H300" t="e">
        <f t="shared" ca="1" si="29"/>
        <v>#N/A</v>
      </c>
    </row>
    <row r="301" spans="1:8" x14ac:dyDescent="0.2">
      <c r="A301" s="6">
        <v>299</v>
      </c>
      <c r="B301" t="e">
        <f>MATCH($A301,part!$A$1:$A$2001,0)</f>
        <v>#N/A</v>
      </c>
      <c r="C301" t="e">
        <f t="shared" ca="1" si="24"/>
        <v>#N/A</v>
      </c>
      <c r="D301" t="e">
        <f t="shared" ca="1" si="25"/>
        <v>#N/A</v>
      </c>
      <c r="E301" t="e">
        <f t="shared" ca="1" si="26"/>
        <v>#N/A</v>
      </c>
      <c r="F301" s="6" t="e">
        <f t="shared" ca="1" si="27"/>
        <v>#N/A</v>
      </c>
      <c r="G301" t="e">
        <f t="shared" ca="1" si="28"/>
        <v>#N/A</v>
      </c>
      <c r="H301" t="e">
        <f t="shared" ca="1" si="29"/>
        <v>#N/A</v>
      </c>
    </row>
    <row r="302" spans="1:8" x14ac:dyDescent="0.2">
      <c r="A302" s="6">
        <v>300</v>
      </c>
      <c r="B302" t="e">
        <f>MATCH($A302,part!$A$1:$A$2001,0)</f>
        <v>#N/A</v>
      </c>
      <c r="C302" t="e">
        <f t="shared" ca="1" si="24"/>
        <v>#N/A</v>
      </c>
      <c r="D302" t="e">
        <f t="shared" ca="1" si="25"/>
        <v>#N/A</v>
      </c>
      <c r="E302" t="e">
        <f t="shared" ca="1" si="26"/>
        <v>#N/A</v>
      </c>
      <c r="F302" s="6" t="e">
        <f t="shared" ca="1" si="27"/>
        <v>#N/A</v>
      </c>
      <c r="G302" t="e">
        <f t="shared" ca="1" si="28"/>
        <v>#N/A</v>
      </c>
      <c r="H302" t="e">
        <f t="shared" ca="1" si="29"/>
        <v>#N/A</v>
      </c>
    </row>
    <row r="303" spans="1:8" x14ac:dyDescent="0.2">
      <c r="A303" s="6">
        <v>301</v>
      </c>
      <c r="B303" t="e">
        <f>MATCH($A303,part!$A$1:$A$2001,0)</f>
        <v>#N/A</v>
      </c>
      <c r="C303" t="e">
        <f t="shared" ca="1" si="24"/>
        <v>#N/A</v>
      </c>
      <c r="D303" t="e">
        <f t="shared" ca="1" si="25"/>
        <v>#N/A</v>
      </c>
      <c r="E303" t="e">
        <f t="shared" ca="1" si="26"/>
        <v>#N/A</v>
      </c>
      <c r="F303" s="6" t="e">
        <f t="shared" ca="1" si="27"/>
        <v>#N/A</v>
      </c>
      <c r="G303" t="e">
        <f t="shared" ca="1" si="28"/>
        <v>#N/A</v>
      </c>
      <c r="H303" t="e">
        <f t="shared" ca="1" si="29"/>
        <v>#N/A</v>
      </c>
    </row>
    <row r="304" spans="1:8" x14ac:dyDescent="0.2">
      <c r="A304" s="6">
        <v>302</v>
      </c>
      <c r="B304" t="e">
        <f>MATCH($A304,part!$A$1:$A$2001,0)</f>
        <v>#N/A</v>
      </c>
      <c r="C304" t="e">
        <f t="shared" ca="1" si="24"/>
        <v>#N/A</v>
      </c>
      <c r="D304" t="e">
        <f t="shared" ca="1" si="25"/>
        <v>#N/A</v>
      </c>
      <c r="E304" t="e">
        <f t="shared" ca="1" si="26"/>
        <v>#N/A</v>
      </c>
      <c r="F304" s="6" t="e">
        <f t="shared" ca="1" si="27"/>
        <v>#N/A</v>
      </c>
      <c r="G304" t="e">
        <f t="shared" ca="1" si="28"/>
        <v>#N/A</v>
      </c>
      <c r="H304" t="e">
        <f t="shared" ca="1" si="29"/>
        <v>#N/A</v>
      </c>
    </row>
    <row r="305" spans="1:8" x14ac:dyDescent="0.2">
      <c r="A305" s="6">
        <v>303</v>
      </c>
      <c r="B305" t="e">
        <f>MATCH($A305,part!$A$1:$A$2001,0)</f>
        <v>#N/A</v>
      </c>
      <c r="C305" t="e">
        <f t="shared" ca="1" si="24"/>
        <v>#N/A</v>
      </c>
      <c r="D305" t="e">
        <f t="shared" ca="1" si="25"/>
        <v>#N/A</v>
      </c>
      <c r="E305" t="e">
        <f t="shared" ca="1" si="26"/>
        <v>#N/A</v>
      </c>
      <c r="F305" s="6" t="e">
        <f t="shared" ca="1" si="27"/>
        <v>#N/A</v>
      </c>
      <c r="G305" t="e">
        <f t="shared" ca="1" si="28"/>
        <v>#N/A</v>
      </c>
      <c r="H305" t="e">
        <f t="shared" ca="1" si="29"/>
        <v>#N/A</v>
      </c>
    </row>
    <row r="306" spans="1:8" x14ac:dyDescent="0.2">
      <c r="A306" s="6">
        <v>304</v>
      </c>
      <c r="B306" t="e">
        <f>MATCH($A306,part!$A$1:$A$2001,0)</f>
        <v>#N/A</v>
      </c>
      <c r="C306" t="e">
        <f t="shared" ca="1" si="24"/>
        <v>#N/A</v>
      </c>
      <c r="D306" t="e">
        <f t="shared" ca="1" si="25"/>
        <v>#N/A</v>
      </c>
      <c r="E306" t="e">
        <f t="shared" ca="1" si="26"/>
        <v>#N/A</v>
      </c>
      <c r="F306" s="6" t="e">
        <f t="shared" ca="1" si="27"/>
        <v>#N/A</v>
      </c>
      <c r="G306" t="e">
        <f t="shared" ca="1" si="28"/>
        <v>#N/A</v>
      </c>
      <c r="H306" t="e">
        <f t="shared" ca="1" si="29"/>
        <v>#N/A</v>
      </c>
    </row>
    <row r="307" spans="1:8" x14ac:dyDescent="0.2">
      <c r="A307" s="6">
        <v>305</v>
      </c>
      <c r="B307" t="e">
        <f>MATCH($A307,part!$A$1:$A$2001,0)</f>
        <v>#N/A</v>
      </c>
      <c r="C307" t="e">
        <f t="shared" ca="1" si="24"/>
        <v>#N/A</v>
      </c>
      <c r="D307" t="e">
        <f t="shared" ca="1" si="25"/>
        <v>#N/A</v>
      </c>
      <c r="E307" t="e">
        <f t="shared" ca="1" si="26"/>
        <v>#N/A</v>
      </c>
      <c r="F307" s="6" t="e">
        <f t="shared" ca="1" si="27"/>
        <v>#N/A</v>
      </c>
      <c r="G307" t="e">
        <f t="shared" ca="1" si="28"/>
        <v>#N/A</v>
      </c>
      <c r="H307" t="e">
        <f t="shared" ca="1" si="29"/>
        <v>#N/A</v>
      </c>
    </row>
    <row r="308" spans="1:8" x14ac:dyDescent="0.2">
      <c r="A308" s="6">
        <v>306</v>
      </c>
      <c r="B308" t="e">
        <f>MATCH($A308,part!$A$1:$A$2001,0)</f>
        <v>#N/A</v>
      </c>
      <c r="C308" t="e">
        <f t="shared" ca="1" si="24"/>
        <v>#N/A</v>
      </c>
      <c r="D308" t="e">
        <f t="shared" ca="1" si="25"/>
        <v>#N/A</v>
      </c>
      <c r="E308" t="e">
        <f t="shared" ca="1" si="26"/>
        <v>#N/A</v>
      </c>
      <c r="F308" s="6" t="e">
        <f t="shared" ca="1" si="27"/>
        <v>#N/A</v>
      </c>
      <c r="G308" t="e">
        <f t="shared" ca="1" si="28"/>
        <v>#N/A</v>
      </c>
      <c r="H308" t="e">
        <f t="shared" ca="1" si="29"/>
        <v>#N/A</v>
      </c>
    </row>
    <row r="309" spans="1:8" x14ac:dyDescent="0.2">
      <c r="A309" s="6">
        <v>307</v>
      </c>
      <c r="B309" t="e">
        <f>MATCH($A309,part!$A$1:$A$2001,0)</f>
        <v>#N/A</v>
      </c>
      <c r="C309" t="e">
        <f t="shared" ca="1" si="24"/>
        <v>#N/A</v>
      </c>
      <c r="D309" t="e">
        <f t="shared" ca="1" si="25"/>
        <v>#N/A</v>
      </c>
      <c r="E309" t="e">
        <f t="shared" ca="1" si="26"/>
        <v>#N/A</v>
      </c>
      <c r="F309" s="6" t="e">
        <f t="shared" ca="1" si="27"/>
        <v>#N/A</v>
      </c>
      <c r="G309" t="e">
        <f t="shared" ca="1" si="28"/>
        <v>#N/A</v>
      </c>
      <c r="H309" t="e">
        <f t="shared" ca="1" si="29"/>
        <v>#N/A</v>
      </c>
    </row>
    <row r="310" spans="1:8" x14ac:dyDescent="0.2">
      <c r="A310" s="6">
        <v>308</v>
      </c>
      <c r="B310" t="e">
        <f>MATCH($A310,part!$A$1:$A$2001,0)</f>
        <v>#N/A</v>
      </c>
      <c r="C310" t="e">
        <f t="shared" ca="1" si="24"/>
        <v>#N/A</v>
      </c>
      <c r="D310" t="e">
        <f t="shared" ca="1" si="25"/>
        <v>#N/A</v>
      </c>
      <c r="E310" t="e">
        <f t="shared" ca="1" si="26"/>
        <v>#N/A</v>
      </c>
      <c r="F310" s="6" t="e">
        <f t="shared" ca="1" si="27"/>
        <v>#N/A</v>
      </c>
      <c r="G310" t="e">
        <f t="shared" ca="1" si="28"/>
        <v>#N/A</v>
      </c>
      <c r="H310" t="e">
        <f t="shared" ca="1" si="29"/>
        <v>#N/A</v>
      </c>
    </row>
    <row r="311" spans="1:8" x14ac:dyDescent="0.2">
      <c r="A311" s="6">
        <v>309</v>
      </c>
      <c r="B311" t="e">
        <f>MATCH($A311,part!$A$1:$A$2001,0)</f>
        <v>#N/A</v>
      </c>
      <c r="C311" t="e">
        <f t="shared" ca="1" si="24"/>
        <v>#N/A</v>
      </c>
      <c r="D311" t="e">
        <f t="shared" ca="1" si="25"/>
        <v>#N/A</v>
      </c>
      <c r="E311" t="e">
        <f t="shared" ca="1" si="26"/>
        <v>#N/A</v>
      </c>
      <c r="F311" s="6" t="e">
        <f t="shared" ca="1" si="27"/>
        <v>#N/A</v>
      </c>
      <c r="G311" t="e">
        <f t="shared" ca="1" si="28"/>
        <v>#N/A</v>
      </c>
      <c r="H311" t="e">
        <f t="shared" ca="1" si="29"/>
        <v>#N/A</v>
      </c>
    </row>
    <row r="312" spans="1:8" x14ac:dyDescent="0.2">
      <c r="A312" s="6">
        <v>310</v>
      </c>
      <c r="B312" t="e">
        <f>MATCH($A312,part!$A$1:$A$2001,0)</f>
        <v>#N/A</v>
      </c>
      <c r="C312" t="e">
        <f t="shared" ca="1" si="24"/>
        <v>#N/A</v>
      </c>
      <c r="D312" t="e">
        <f t="shared" ca="1" si="25"/>
        <v>#N/A</v>
      </c>
      <c r="E312" t="e">
        <f t="shared" ca="1" si="26"/>
        <v>#N/A</v>
      </c>
      <c r="F312" s="6" t="e">
        <f t="shared" ca="1" si="27"/>
        <v>#N/A</v>
      </c>
      <c r="G312" t="e">
        <f t="shared" ca="1" si="28"/>
        <v>#N/A</v>
      </c>
      <c r="H312" t="e">
        <f t="shared" ca="1" si="29"/>
        <v>#N/A</v>
      </c>
    </row>
    <row r="313" spans="1:8" x14ac:dyDescent="0.2">
      <c r="A313" s="6">
        <v>311</v>
      </c>
      <c r="B313" t="e">
        <f>MATCH($A313,part!$A$1:$A$2001,0)</f>
        <v>#N/A</v>
      </c>
      <c r="C313" t="e">
        <f t="shared" ca="1" si="24"/>
        <v>#N/A</v>
      </c>
      <c r="D313" t="e">
        <f t="shared" ca="1" si="25"/>
        <v>#N/A</v>
      </c>
      <c r="E313" t="e">
        <f t="shared" ca="1" si="26"/>
        <v>#N/A</v>
      </c>
      <c r="F313" s="6" t="e">
        <f t="shared" ca="1" si="27"/>
        <v>#N/A</v>
      </c>
      <c r="G313" t="e">
        <f t="shared" ca="1" si="28"/>
        <v>#N/A</v>
      </c>
      <c r="H313" t="e">
        <f t="shared" ca="1" si="29"/>
        <v>#N/A</v>
      </c>
    </row>
    <row r="314" spans="1:8" x14ac:dyDescent="0.2">
      <c r="A314" s="6">
        <v>312</v>
      </c>
      <c r="B314" t="e">
        <f>MATCH($A314,part!$A$1:$A$2001,0)</f>
        <v>#N/A</v>
      </c>
      <c r="C314" t="e">
        <f t="shared" ca="1" si="24"/>
        <v>#N/A</v>
      </c>
      <c r="D314" t="e">
        <f t="shared" ca="1" si="25"/>
        <v>#N/A</v>
      </c>
      <c r="E314" t="e">
        <f t="shared" ca="1" si="26"/>
        <v>#N/A</v>
      </c>
      <c r="F314" s="6" t="e">
        <f t="shared" ca="1" si="27"/>
        <v>#N/A</v>
      </c>
      <c r="G314" t="e">
        <f t="shared" ca="1" si="28"/>
        <v>#N/A</v>
      </c>
      <c r="H314" t="e">
        <f t="shared" ca="1" si="29"/>
        <v>#N/A</v>
      </c>
    </row>
    <row r="315" spans="1:8" x14ac:dyDescent="0.2">
      <c r="A315" s="6">
        <v>313</v>
      </c>
      <c r="B315" t="e">
        <f>MATCH($A315,part!$A$1:$A$2001,0)</f>
        <v>#N/A</v>
      </c>
      <c r="C315" t="e">
        <f t="shared" ca="1" si="24"/>
        <v>#N/A</v>
      </c>
      <c r="D315" t="e">
        <f t="shared" ca="1" si="25"/>
        <v>#N/A</v>
      </c>
      <c r="E315" t="e">
        <f t="shared" ca="1" si="26"/>
        <v>#N/A</v>
      </c>
      <c r="F315" s="6" t="e">
        <f t="shared" ca="1" si="27"/>
        <v>#N/A</v>
      </c>
      <c r="G315" t="e">
        <f t="shared" ca="1" si="28"/>
        <v>#N/A</v>
      </c>
      <c r="H315" t="e">
        <f t="shared" ca="1" si="29"/>
        <v>#N/A</v>
      </c>
    </row>
    <row r="316" spans="1:8" x14ac:dyDescent="0.2">
      <c r="A316" s="6">
        <v>314</v>
      </c>
      <c r="B316" t="e">
        <f>MATCH($A316,part!$A$1:$A$2001,0)</f>
        <v>#N/A</v>
      </c>
      <c r="C316" t="e">
        <f t="shared" ca="1" si="24"/>
        <v>#N/A</v>
      </c>
      <c r="D316" t="e">
        <f t="shared" ca="1" si="25"/>
        <v>#N/A</v>
      </c>
      <c r="E316" t="e">
        <f t="shared" ca="1" si="26"/>
        <v>#N/A</v>
      </c>
      <c r="F316" s="6" t="e">
        <f t="shared" ca="1" si="27"/>
        <v>#N/A</v>
      </c>
      <c r="G316" t="e">
        <f t="shared" ca="1" si="28"/>
        <v>#N/A</v>
      </c>
      <c r="H316" t="e">
        <f t="shared" ca="1" si="29"/>
        <v>#N/A</v>
      </c>
    </row>
    <row r="317" spans="1:8" x14ac:dyDescent="0.2">
      <c r="A317" s="6">
        <v>315</v>
      </c>
      <c r="B317" t="e">
        <f>MATCH($A317,part!$A$1:$A$2001,0)</f>
        <v>#N/A</v>
      </c>
      <c r="C317" t="e">
        <f t="shared" ca="1" si="24"/>
        <v>#N/A</v>
      </c>
      <c r="D317" t="e">
        <f t="shared" ca="1" si="25"/>
        <v>#N/A</v>
      </c>
      <c r="E317" t="e">
        <f t="shared" ca="1" si="26"/>
        <v>#N/A</v>
      </c>
      <c r="F317" s="6" t="e">
        <f t="shared" ca="1" si="27"/>
        <v>#N/A</v>
      </c>
      <c r="G317" t="e">
        <f t="shared" ca="1" si="28"/>
        <v>#N/A</v>
      </c>
      <c r="H317" t="e">
        <f t="shared" ca="1" si="29"/>
        <v>#N/A</v>
      </c>
    </row>
    <row r="318" spans="1:8" x14ac:dyDescent="0.2">
      <c r="A318" s="6">
        <v>316</v>
      </c>
      <c r="B318" t="e">
        <f>MATCH($A318,part!$A$1:$A$2001,0)</f>
        <v>#N/A</v>
      </c>
      <c r="C318" t="e">
        <f t="shared" ca="1" si="24"/>
        <v>#N/A</v>
      </c>
      <c r="D318" t="e">
        <f t="shared" ca="1" si="25"/>
        <v>#N/A</v>
      </c>
      <c r="E318" t="e">
        <f t="shared" ca="1" si="26"/>
        <v>#N/A</v>
      </c>
      <c r="F318" s="6" t="e">
        <f t="shared" ca="1" si="27"/>
        <v>#N/A</v>
      </c>
      <c r="G318" t="e">
        <f t="shared" ca="1" si="28"/>
        <v>#N/A</v>
      </c>
      <c r="H318" t="e">
        <f t="shared" ca="1" si="29"/>
        <v>#N/A</v>
      </c>
    </row>
    <row r="319" spans="1:8" x14ac:dyDescent="0.2">
      <c r="A319" s="6">
        <v>317</v>
      </c>
      <c r="B319" t="e">
        <f>MATCH($A319,part!$A$1:$A$2001,0)</f>
        <v>#N/A</v>
      </c>
      <c r="C319" t="e">
        <f t="shared" ca="1" si="24"/>
        <v>#N/A</v>
      </c>
      <c r="D319" t="e">
        <f t="shared" ca="1" si="25"/>
        <v>#N/A</v>
      </c>
      <c r="E319" t="e">
        <f t="shared" ca="1" si="26"/>
        <v>#N/A</v>
      </c>
      <c r="F319" s="6" t="e">
        <f t="shared" ca="1" si="27"/>
        <v>#N/A</v>
      </c>
      <c r="G319" t="e">
        <f t="shared" ca="1" si="28"/>
        <v>#N/A</v>
      </c>
      <c r="H319" t="e">
        <f t="shared" ca="1" si="29"/>
        <v>#N/A</v>
      </c>
    </row>
    <row r="320" spans="1:8" x14ac:dyDescent="0.2">
      <c r="A320" s="6">
        <v>318</v>
      </c>
      <c r="B320" t="e">
        <f>MATCH($A320,part!$A$1:$A$2001,0)</f>
        <v>#N/A</v>
      </c>
      <c r="C320" t="e">
        <f t="shared" ca="1" si="24"/>
        <v>#N/A</v>
      </c>
      <c r="D320" t="e">
        <f t="shared" ca="1" si="25"/>
        <v>#N/A</v>
      </c>
      <c r="E320" t="e">
        <f t="shared" ca="1" si="26"/>
        <v>#N/A</v>
      </c>
      <c r="F320" s="6" t="e">
        <f t="shared" ca="1" si="27"/>
        <v>#N/A</v>
      </c>
      <c r="G320" t="e">
        <f t="shared" ca="1" si="28"/>
        <v>#N/A</v>
      </c>
      <c r="H320" t="e">
        <f t="shared" ca="1" si="29"/>
        <v>#N/A</v>
      </c>
    </row>
    <row r="321" spans="1:8" x14ac:dyDescent="0.2">
      <c r="A321" s="6">
        <v>319</v>
      </c>
      <c r="B321" t="e">
        <f>MATCH($A321,part!$A$1:$A$2001,0)</f>
        <v>#N/A</v>
      </c>
      <c r="C321" t="e">
        <f t="shared" ca="1" si="24"/>
        <v>#N/A</v>
      </c>
      <c r="D321" t="e">
        <f t="shared" ca="1" si="25"/>
        <v>#N/A</v>
      </c>
      <c r="E321" t="e">
        <f t="shared" ca="1" si="26"/>
        <v>#N/A</v>
      </c>
      <c r="F321" s="6" t="e">
        <f t="shared" ca="1" si="27"/>
        <v>#N/A</v>
      </c>
      <c r="G321" t="e">
        <f t="shared" ca="1" si="28"/>
        <v>#N/A</v>
      </c>
      <c r="H321" t="e">
        <f t="shared" ca="1" si="29"/>
        <v>#N/A</v>
      </c>
    </row>
    <row r="322" spans="1:8" x14ac:dyDescent="0.2">
      <c r="A322" s="6">
        <v>320</v>
      </c>
      <c r="B322" t="e">
        <f>MATCH($A322,part!$A$1:$A$2001,0)</f>
        <v>#N/A</v>
      </c>
      <c r="C322" t="e">
        <f t="shared" ref="C322:C350" ca="1" si="30">INDIRECT(ADDRESS($B322,2,,,"part"))</f>
        <v>#N/A</v>
      </c>
      <c r="D322" t="e">
        <f t="shared" ref="D322:D350" ca="1" si="31">INDIRECT(ADDRESS($B322,3,,,"part"))</f>
        <v>#N/A</v>
      </c>
      <c r="E322" t="e">
        <f t="shared" ref="E322:E350" ca="1" si="32">INDIRECT(ADDRESS($D322+1,2,,,"[namespace.xlsx]part type"))</f>
        <v>#N/A</v>
      </c>
      <c r="F322" s="6" t="e">
        <f t="shared" ref="F322:F350" ca="1" si="33">INDIRECT(ADDRESS($B322,4,,,"part"))</f>
        <v>#N/A</v>
      </c>
      <c r="G322" t="e">
        <f t="shared" ref="G322:G350" ca="1" si="34">IF($F322&gt;=0,INDIRECT(ADDRESS($F322+2,2,,,"comp")),-1)</f>
        <v>#N/A</v>
      </c>
      <c r="H322" t="e">
        <f t="shared" ref="H322:H350" ca="1" si="35">INDIRECT(ADDRESS($G322+2,2,,,"[namespace.xlsx]comp type"))</f>
        <v>#N/A</v>
      </c>
    </row>
    <row r="323" spans="1:8" x14ac:dyDescent="0.2">
      <c r="A323" s="6">
        <v>321</v>
      </c>
      <c r="B323" t="e">
        <f>MATCH($A323,part!$A$1:$A$2001,0)</f>
        <v>#N/A</v>
      </c>
      <c r="C323" t="e">
        <f t="shared" ca="1" si="30"/>
        <v>#N/A</v>
      </c>
      <c r="D323" t="e">
        <f t="shared" ca="1" si="31"/>
        <v>#N/A</v>
      </c>
      <c r="E323" t="e">
        <f t="shared" ca="1" si="32"/>
        <v>#N/A</v>
      </c>
      <c r="F323" s="6" t="e">
        <f t="shared" ca="1" si="33"/>
        <v>#N/A</v>
      </c>
      <c r="G323" t="e">
        <f t="shared" ca="1" si="34"/>
        <v>#N/A</v>
      </c>
      <c r="H323" t="e">
        <f t="shared" ca="1" si="35"/>
        <v>#N/A</v>
      </c>
    </row>
    <row r="324" spans="1:8" x14ac:dyDescent="0.2">
      <c r="A324" s="6">
        <v>322</v>
      </c>
      <c r="B324" t="e">
        <f>MATCH($A324,part!$A$1:$A$2001,0)</f>
        <v>#N/A</v>
      </c>
      <c r="C324" t="e">
        <f t="shared" ca="1" si="30"/>
        <v>#N/A</v>
      </c>
      <c r="D324" t="e">
        <f t="shared" ca="1" si="31"/>
        <v>#N/A</v>
      </c>
      <c r="E324" t="e">
        <f t="shared" ca="1" si="32"/>
        <v>#N/A</v>
      </c>
      <c r="F324" s="6" t="e">
        <f t="shared" ca="1" si="33"/>
        <v>#N/A</v>
      </c>
      <c r="G324" t="e">
        <f t="shared" ca="1" si="34"/>
        <v>#N/A</v>
      </c>
      <c r="H324" t="e">
        <f t="shared" ca="1" si="35"/>
        <v>#N/A</v>
      </c>
    </row>
    <row r="325" spans="1:8" x14ac:dyDescent="0.2">
      <c r="A325" s="6">
        <v>323</v>
      </c>
      <c r="B325" t="e">
        <f>MATCH($A325,part!$A$1:$A$2001,0)</f>
        <v>#N/A</v>
      </c>
      <c r="C325" t="e">
        <f t="shared" ca="1" si="30"/>
        <v>#N/A</v>
      </c>
      <c r="D325" t="e">
        <f t="shared" ca="1" si="31"/>
        <v>#N/A</v>
      </c>
      <c r="E325" t="e">
        <f t="shared" ca="1" si="32"/>
        <v>#N/A</v>
      </c>
      <c r="F325" s="6" t="e">
        <f t="shared" ca="1" si="33"/>
        <v>#N/A</v>
      </c>
      <c r="G325" t="e">
        <f t="shared" ca="1" si="34"/>
        <v>#N/A</v>
      </c>
      <c r="H325" t="e">
        <f t="shared" ca="1" si="35"/>
        <v>#N/A</v>
      </c>
    </row>
    <row r="326" spans="1:8" x14ac:dyDescent="0.2">
      <c r="A326" s="6">
        <v>324</v>
      </c>
      <c r="B326" t="e">
        <f>MATCH($A326,part!$A$1:$A$2001,0)</f>
        <v>#N/A</v>
      </c>
      <c r="C326" t="e">
        <f t="shared" ca="1" si="30"/>
        <v>#N/A</v>
      </c>
      <c r="D326" t="e">
        <f t="shared" ca="1" si="31"/>
        <v>#N/A</v>
      </c>
      <c r="E326" t="e">
        <f t="shared" ca="1" si="32"/>
        <v>#N/A</v>
      </c>
      <c r="F326" s="6" t="e">
        <f t="shared" ca="1" si="33"/>
        <v>#N/A</v>
      </c>
      <c r="G326" t="e">
        <f t="shared" ca="1" si="34"/>
        <v>#N/A</v>
      </c>
      <c r="H326" t="e">
        <f t="shared" ca="1" si="35"/>
        <v>#N/A</v>
      </c>
    </row>
    <row r="327" spans="1:8" x14ac:dyDescent="0.2">
      <c r="A327" s="6">
        <v>325</v>
      </c>
      <c r="B327" t="e">
        <f>MATCH($A327,part!$A$1:$A$2001,0)</f>
        <v>#N/A</v>
      </c>
      <c r="C327" t="e">
        <f t="shared" ca="1" si="30"/>
        <v>#N/A</v>
      </c>
      <c r="D327" t="e">
        <f t="shared" ca="1" si="31"/>
        <v>#N/A</v>
      </c>
      <c r="E327" t="e">
        <f t="shared" ca="1" si="32"/>
        <v>#N/A</v>
      </c>
      <c r="F327" s="6" t="e">
        <f t="shared" ca="1" si="33"/>
        <v>#N/A</v>
      </c>
      <c r="G327" t="e">
        <f t="shared" ca="1" si="34"/>
        <v>#N/A</v>
      </c>
      <c r="H327" t="e">
        <f t="shared" ca="1" si="35"/>
        <v>#N/A</v>
      </c>
    </row>
    <row r="328" spans="1:8" x14ac:dyDescent="0.2">
      <c r="A328" s="6">
        <v>326</v>
      </c>
      <c r="B328" t="e">
        <f>MATCH($A328,part!$A$1:$A$2001,0)</f>
        <v>#N/A</v>
      </c>
      <c r="C328" t="e">
        <f t="shared" ca="1" si="30"/>
        <v>#N/A</v>
      </c>
      <c r="D328" t="e">
        <f t="shared" ca="1" si="31"/>
        <v>#N/A</v>
      </c>
      <c r="E328" t="e">
        <f t="shared" ca="1" si="32"/>
        <v>#N/A</v>
      </c>
      <c r="F328" s="6" t="e">
        <f t="shared" ca="1" si="33"/>
        <v>#N/A</v>
      </c>
      <c r="G328" t="e">
        <f t="shared" ca="1" si="34"/>
        <v>#N/A</v>
      </c>
      <c r="H328" t="e">
        <f t="shared" ca="1" si="35"/>
        <v>#N/A</v>
      </c>
    </row>
    <row r="329" spans="1:8" x14ac:dyDescent="0.2">
      <c r="A329" s="6">
        <v>327</v>
      </c>
      <c r="B329" t="e">
        <f>MATCH($A329,part!$A$1:$A$2001,0)</f>
        <v>#N/A</v>
      </c>
      <c r="C329" t="e">
        <f t="shared" ca="1" si="30"/>
        <v>#N/A</v>
      </c>
      <c r="D329" t="e">
        <f t="shared" ca="1" si="31"/>
        <v>#N/A</v>
      </c>
      <c r="E329" t="e">
        <f t="shared" ca="1" si="32"/>
        <v>#N/A</v>
      </c>
      <c r="F329" s="6" t="e">
        <f t="shared" ca="1" si="33"/>
        <v>#N/A</v>
      </c>
      <c r="G329" t="e">
        <f t="shared" ca="1" si="34"/>
        <v>#N/A</v>
      </c>
      <c r="H329" t="e">
        <f t="shared" ca="1" si="35"/>
        <v>#N/A</v>
      </c>
    </row>
    <row r="330" spans="1:8" x14ac:dyDescent="0.2">
      <c r="A330" s="6">
        <v>328</v>
      </c>
      <c r="B330" t="e">
        <f>MATCH($A330,part!$A$1:$A$2001,0)</f>
        <v>#N/A</v>
      </c>
      <c r="C330" t="e">
        <f t="shared" ca="1" si="30"/>
        <v>#N/A</v>
      </c>
      <c r="D330" t="e">
        <f t="shared" ca="1" si="31"/>
        <v>#N/A</v>
      </c>
      <c r="E330" t="e">
        <f t="shared" ca="1" si="32"/>
        <v>#N/A</v>
      </c>
      <c r="F330" s="6" t="e">
        <f t="shared" ca="1" si="33"/>
        <v>#N/A</v>
      </c>
      <c r="G330" t="e">
        <f t="shared" ca="1" si="34"/>
        <v>#N/A</v>
      </c>
      <c r="H330" t="e">
        <f t="shared" ca="1" si="35"/>
        <v>#N/A</v>
      </c>
    </row>
    <row r="331" spans="1:8" x14ac:dyDescent="0.2">
      <c r="A331" s="6">
        <v>329</v>
      </c>
      <c r="B331" t="e">
        <f>MATCH($A331,part!$A$1:$A$2001,0)</f>
        <v>#N/A</v>
      </c>
      <c r="C331" t="e">
        <f t="shared" ca="1" si="30"/>
        <v>#N/A</v>
      </c>
      <c r="D331" t="e">
        <f t="shared" ca="1" si="31"/>
        <v>#N/A</v>
      </c>
      <c r="E331" t="e">
        <f t="shared" ca="1" si="32"/>
        <v>#N/A</v>
      </c>
      <c r="F331" s="6" t="e">
        <f t="shared" ca="1" si="33"/>
        <v>#N/A</v>
      </c>
      <c r="G331" t="e">
        <f t="shared" ca="1" si="34"/>
        <v>#N/A</v>
      </c>
      <c r="H331" t="e">
        <f t="shared" ca="1" si="35"/>
        <v>#N/A</v>
      </c>
    </row>
    <row r="332" spans="1:8" x14ac:dyDescent="0.2">
      <c r="A332" s="6">
        <v>330</v>
      </c>
      <c r="B332" t="e">
        <f>MATCH($A332,part!$A$1:$A$2001,0)</f>
        <v>#N/A</v>
      </c>
      <c r="C332" t="e">
        <f t="shared" ca="1" si="30"/>
        <v>#N/A</v>
      </c>
      <c r="D332" t="e">
        <f t="shared" ca="1" si="31"/>
        <v>#N/A</v>
      </c>
      <c r="E332" t="e">
        <f t="shared" ca="1" si="32"/>
        <v>#N/A</v>
      </c>
      <c r="F332" s="6" t="e">
        <f t="shared" ca="1" si="33"/>
        <v>#N/A</v>
      </c>
      <c r="G332" t="e">
        <f t="shared" ca="1" si="34"/>
        <v>#N/A</v>
      </c>
      <c r="H332" t="e">
        <f t="shared" ca="1" si="35"/>
        <v>#N/A</v>
      </c>
    </row>
    <row r="333" spans="1:8" x14ac:dyDescent="0.2">
      <c r="A333" s="6">
        <v>331</v>
      </c>
      <c r="B333" t="e">
        <f>MATCH($A333,part!$A$1:$A$2001,0)</f>
        <v>#N/A</v>
      </c>
      <c r="C333" t="e">
        <f t="shared" ca="1" si="30"/>
        <v>#N/A</v>
      </c>
      <c r="D333" t="e">
        <f t="shared" ca="1" si="31"/>
        <v>#N/A</v>
      </c>
      <c r="E333" t="e">
        <f t="shared" ca="1" si="32"/>
        <v>#N/A</v>
      </c>
      <c r="F333" s="6" t="e">
        <f t="shared" ca="1" si="33"/>
        <v>#N/A</v>
      </c>
      <c r="G333" t="e">
        <f t="shared" ca="1" si="34"/>
        <v>#N/A</v>
      </c>
      <c r="H333" t="e">
        <f t="shared" ca="1" si="35"/>
        <v>#N/A</v>
      </c>
    </row>
    <row r="334" spans="1:8" x14ac:dyDescent="0.2">
      <c r="A334" s="6">
        <v>332</v>
      </c>
      <c r="B334" t="e">
        <f>MATCH($A334,part!$A$1:$A$2001,0)</f>
        <v>#N/A</v>
      </c>
      <c r="C334" t="e">
        <f t="shared" ca="1" si="30"/>
        <v>#N/A</v>
      </c>
      <c r="D334" t="e">
        <f t="shared" ca="1" si="31"/>
        <v>#N/A</v>
      </c>
      <c r="E334" t="e">
        <f t="shared" ca="1" si="32"/>
        <v>#N/A</v>
      </c>
      <c r="F334" s="6" t="e">
        <f t="shared" ca="1" si="33"/>
        <v>#N/A</v>
      </c>
      <c r="G334" t="e">
        <f t="shared" ca="1" si="34"/>
        <v>#N/A</v>
      </c>
      <c r="H334" t="e">
        <f t="shared" ca="1" si="35"/>
        <v>#N/A</v>
      </c>
    </row>
    <row r="335" spans="1:8" x14ac:dyDescent="0.2">
      <c r="A335" s="6">
        <v>333</v>
      </c>
      <c r="B335" t="e">
        <f>MATCH($A335,part!$A$1:$A$2001,0)</f>
        <v>#N/A</v>
      </c>
      <c r="C335" t="e">
        <f t="shared" ca="1" si="30"/>
        <v>#N/A</v>
      </c>
      <c r="D335" t="e">
        <f t="shared" ca="1" si="31"/>
        <v>#N/A</v>
      </c>
      <c r="E335" t="e">
        <f t="shared" ca="1" si="32"/>
        <v>#N/A</v>
      </c>
      <c r="F335" s="6" t="e">
        <f t="shared" ca="1" si="33"/>
        <v>#N/A</v>
      </c>
      <c r="G335" t="e">
        <f t="shared" ca="1" si="34"/>
        <v>#N/A</v>
      </c>
      <c r="H335" t="e">
        <f t="shared" ca="1" si="35"/>
        <v>#N/A</v>
      </c>
    </row>
    <row r="336" spans="1:8" x14ac:dyDescent="0.2">
      <c r="A336" s="6">
        <v>334</v>
      </c>
      <c r="B336" t="e">
        <f>MATCH($A336,part!$A$1:$A$2001,0)</f>
        <v>#N/A</v>
      </c>
      <c r="C336" t="e">
        <f t="shared" ca="1" si="30"/>
        <v>#N/A</v>
      </c>
      <c r="D336" t="e">
        <f t="shared" ca="1" si="31"/>
        <v>#N/A</v>
      </c>
      <c r="E336" t="e">
        <f t="shared" ca="1" si="32"/>
        <v>#N/A</v>
      </c>
      <c r="F336" s="6" t="e">
        <f t="shared" ca="1" si="33"/>
        <v>#N/A</v>
      </c>
      <c r="G336" t="e">
        <f t="shared" ca="1" si="34"/>
        <v>#N/A</v>
      </c>
      <c r="H336" t="e">
        <f t="shared" ca="1" si="35"/>
        <v>#N/A</v>
      </c>
    </row>
    <row r="337" spans="1:8" x14ac:dyDescent="0.2">
      <c r="A337" s="6">
        <v>335</v>
      </c>
      <c r="B337" t="e">
        <f>MATCH($A337,part!$A$1:$A$2001,0)</f>
        <v>#N/A</v>
      </c>
      <c r="C337" t="e">
        <f t="shared" ca="1" si="30"/>
        <v>#N/A</v>
      </c>
      <c r="D337" t="e">
        <f t="shared" ca="1" si="31"/>
        <v>#N/A</v>
      </c>
      <c r="E337" t="e">
        <f t="shared" ca="1" si="32"/>
        <v>#N/A</v>
      </c>
      <c r="F337" s="6" t="e">
        <f t="shared" ca="1" si="33"/>
        <v>#N/A</v>
      </c>
      <c r="G337" t="e">
        <f t="shared" ca="1" si="34"/>
        <v>#N/A</v>
      </c>
      <c r="H337" t="e">
        <f t="shared" ca="1" si="35"/>
        <v>#N/A</v>
      </c>
    </row>
    <row r="338" spans="1:8" x14ac:dyDescent="0.2">
      <c r="A338" s="6">
        <v>336</v>
      </c>
      <c r="B338" t="e">
        <f>MATCH($A338,part!$A$1:$A$2001,0)</f>
        <v>#N/A</v>
      </c>
      <c r="C338" t="e">
        <f t="shared" ca="1" si="30"/>
        <v>#N/A</v>
      </c>
      <c r="D338" t="e">
        <f t="shared" ca="1" si="31"/>
        <v>#N/A</v>
      </c>
      <c r="E338" t="e">
        <f t="shared" ca="1" si="32"/>
        <v>#N/A</v>
      </c>
      <c r="F338" s="6" t="e">
        <f t="shared" ca="1" si="33"/>
        <v>#N/A</v>
      </c>
      <c r="G338" t="e">
        <f t="shared" ca="1" si="34"/>
        <v>#N/A</v>
      </c>
      <c r="H338" t="e">
        <f t="shared" ca="1" si="35"/>
        <v>#N/A</v>
      </c>
    </row>
    <row r="339" spans="1:8" x14ac:dyDescent="0.2">
      <c r="A339" s="6">
        <v>337</v>
      </c>
      <c r="B339" t="e">
        <f>MATCH($A339,part!$A$1:$A$2001,0)</f>
        <v>#N/A</v>
      </c>
      <c r="C339" t="e">
        <f t="shared" ca="1" si="30"/>
        <v>#N/A</v>
      </c>
      <c r="D339" t="e">
        <f t="shared" ca="1" si="31"/>
        <v>#N/A</v>
      </c>
      <c r="E339" t="e">
        <f t="shared" ca="1" si="32"/>
        <v>#N/A</v>
      </c>
      <c r="F339" s="6" t="e">
        <f t="shared" ca="1" si="33"/>
        <v>#N/A</v>
      </c>
      <c r="G339" t="e">
        <f t="shared" ca="1" si="34"/>
        <v>#N/A</v>
      </c>
      <c r="H339" t="e">
        <f t="shared" ca="1" si="35"/>
        <v>#N/A</v>
      </c>
    </row>
    <row r="340" spans="1:8" x14ac:dyDescent="0.2">
      <c r="A340" s="6">
        <v>338</v>
      </c>
      <c r="B340" t="e">
        <f>MATCH($A340,part!$A$1:$A$2001,0)</f>
        <v>#N/A</v>
      </c>
      <c r="C340" t="e">
        <f t="shared" ca="1" si="30"/>
        <v>#N/A</v>
      </c>
      <c r="D340" t="e">
        <f t="shared" ca="1" si="31"/>
        <v>#N/A</v>
      </c>
      <c r="E340" t="e">
        <f t="shared" ca="1" si="32"/>
        <v>#N/A</v>
      </c>
      <c r="F340" s="6" t="e">
        <f t="shared" ca="1" si="33"/>
        <v>#N/A</v>
      </c>
      <c r="G340" t="e">
        <f t="shared" ca="1" si="34"/>
        <v>#N/A</v>
      </c>
      <c r="H340" t="e">
        <f t="shared" ca="1" si="35"/>
        <v>#N/A</v>
      </c>
    </row>
    <row r="341" spans="1:8" x14ac:dyDescent="0.2">
      <c r="A341" s="6">
        <v>339</v>
      </c>
      <c r="B341" t="e">
        <f>MATCH($A341,part!$A$1:$A$2001,0)</f>
        <v>#N/A</v>
      </c>
      <c r="C341" t="e">
        <f t="shared" ca="1" si="30"/>
        <v>#N/A</v>
      </c>
      <c r="D341" t="e">
        <f t="shared" ca="1" si="31"/>
        <v>#N/A</v>
      </c>
      <c r="E341" t="e">
        <f t="shared" ca="1" si="32"/>
        <v>#N/A</v>
      </c>
      <c r="F341" s="6" t="e">
        <f t="shared" ca="1" si="33"/>
        <v>#N/A</v>
      </c>
      <c r="G341" t="e">
        <f t="shared" ca="1" si="34"/>
        <v>#N/A</v>
      </c>
      <c r="H341" t="e">
        <f t="shared" ca="1" si="35"/>
        <v>#N/A</v>
      </c>
    </row>
    <row r="342" spans="1:8" x14ac:dyDescent="0.2">
      <c r="A342" s="6">
        <v>340</v>
      </c>
      <c r="B342" t="e">
        <f>MATCH($A342,part!$A$1:$A$2001,0)</f>
        <v>#N/A</v>
      </c>
      <c r="C342" t="e">
        <f t="shared" ca="1" si="30"/>
        <v>#N/A</v>
      </c>
      <c r="D342" t="e">
        <f t="shared" ca="1" si="31"/>
        <v>#N/A</v>
      </c>
      <c r="E342" t="e">
        <f t="shared" ca="1" si="32"/>
        <v>#N/A</v>
      </c>
      <c r="F342" s="6" t="e">
        <f t="shared" ca="1" si="33"/>
        <v>#N/A</v>
      </c>
      <c r="G342" t="e">
        <f t="shared" ca="1" si="34"/>
        <v>#N/A</v>
      </c>
      <c r="H342" t="e">
        <f t="shared" ca="1" si="35"/>
        <v>#N/A</v>
      </c>
    </row>
    <row r="343" spans="1:8" x14ac:dyDescent="0.2">
      <c r="A343" s="6">
        <v>341</v>
      </c>
      <c r="B343" t="e">
        <f>MATCH($A343,part!$A$1:$A$2001,0)</f>
        <v>#N/A</v>
      </c>
      <c r="C343" t="e">
        <f t="shared" ca="1" si="30"/>
        <v>#N/A</v>
      </c>
      <c r="D343" t="e">
        <f t="shared" ca="1" si="31"/>
        <v>#N/A</v>
      </c>
      <c r="E343" t="e">
        <f t="shared" ca="1" si="32"/>
        <v>#N/A</v>
      </c>
      <c r="F343" s="6" t="e">
        <f t="shared" ca="1" si="33"/>
        <v>#N/A</v>
      </c>
      <c r="G343" t="e">
        <f t="shared" ca="1" si="34"/>
        <v>#N/A</v>
      </c>
      <c r="H343" t="e">
        <f t="shared" ca="1" si="35"/>
        <v>#N/A</v>
      </c>
    </row>
    <row r="344" spans="1:8" x14ac:dyDescent="0.2">
      <c r="A344" s="6">
        <v>342</v>
      </c>
      <c r="B344" t="e">
        <f>MATCH($A344,part!$A$1:$A$2001,0)</f>
        <v>#N/A</v>
      </c>
      <c r="C344" t="e">
        <f t="shared" ca="1" si="30"/>
        <v>#N/A</v>
      </c>
      <c r="D344" t="e">
        <f t="shared" ca="1" si="31"/>
        <v>#N/A</v>
      </c>
      <c r="E344" t="e">
        <f t="shared" ca="1" si="32"/>
        <v>#N/A</v>
      </c>
      <c r="F344" s="6" t="e">
        <f t="shared" ca="1" si="33"/>
        <v>#N/A</v>
      </c>
      <c r="G344" t="e">
        <f t="shared" ca="1" si="34"/>
        <v>#N/A</v>
      </c>
      <c r="H344" t="e">
        <f t="shared" ca="1" si="35"/>
        <v>#N/A</v>
      </c>
    </row>
    <row r="345" spans="1:8" x14ac:dyDescent="0.2">
      <c r="A345" s="6">
        <v>343</v>
      </c>
      <c r="B345" t="e">
        <f>MATCH($A345,part!$A$1:$A$2001,0)</f>
        <v>#N/A</v>
      </c>
      <c r="C345" t="e">
        <f t="shared" ca="1" si="30"/>
        <v>#N/A</v>
      </c>
      <c r="D345" t="e">
        <f t="shared" ca="1" si="31"/>
        <v>#N/A</v>
      </c>
      <c r="E345" t="e">
        <f t="shared" ca="1" si="32"/>
        <v>#N/A</v>
      </c>
      <c r="F345" s="6" t="e">
        <f t="shared" ca="1" si="33"/>
        <v>#N/A</v>
      </c>
      <c r="G345" t="e">
        <f t="shared" ca="1" si="34"/>
        <v>#N/A</v>
      </c>
      <c r="H345" t="e">
        <f t="shared" ca="1" si="35"/>
        <v>#N/A</v>
      </c>
    </row>
    <row r="346" spans="1:8" x14ac:dyDescent="0.2">
      <c r="A346" s="6">
        <v>344</v>
      </c>
      <c r="B346" t="e">
        <f>MATCH($A346,part!$A$1:$A$2001,0)</f>
        <v>#N/A</v>
      </c>
      <c r="C346" t="e">
        <f t="shared" ca="1" si="30"/>
        <v>#N/A</v>
      </c>
      <c r="D346" t="e">
        <f t="shared" ca="1" si="31"/>
        <v>#N/A</v>
      </c>
      <c r="E346" t="e">
        <f t="shared" ca="1" si="32"/>
        <v>#N/A</v>
      </c>
      <c r="F346" s="6" t="e">
        <f t="shared" ca="1" si="33"/>
        <v>#N/A</v>
      </c>
      <c r="G346" t="e">
        <f t="shared" ca="1" si="34"/>
        <v>#N/A</v>
      </c>
      <c r="H346" t="e">
        <f t="shared" ca="1" si="35"/>
        <v>#N/A</v>
      </c>
    </row>
    <row r="347" spans="1:8" x14ac:dyDescent="0.2">
      <c r="A347" s="6">
        <v>345</v>
      </c>
      <c r="B347" t="e">
        <f>MATCH($A347,part!$A$1:$A$2001,0)</f>
        <v>#N/A</v>
      </c>
      <c r="C347" t="e">
        <f t="shared" ca="1" si="30"/>
        <v>#N/A</v>
      </c>
      <c r="D347" t="e">
        <f t="shared" ca="1" si="31"/>
        <v>#N/A</v>
      </c>
      <c r="E347" t="e">
        <f t="shared" ca="1" si="32"/>
        <v>#N/A</v>
      </c>
      <c r="F347" s="6" t="e">
        <f t="shared" ca="1" si="33"/>
        <v>#N/A</v>
      </c>
      <c r="G347" t="e">
        <f t="shared" ca="1" si="34"/>
        <v>#N/A</v>
      </c>
      <c r="H347" t="e">
        <f t="shared" ca="1" si="35"/>
        <v>#N/A</v>
      </c>
    </row>
    <row r="348" spans="1:8" x14ac:dyDescent="0.2">
      <c r="A348" s="6">
        <v>346</v>
      </c>
      <c r="B348" t="e">
        <f>MATCH($A348,part!$A$1:$A$2001,0)</f>
        <v>#N/A</v>
      </c>
      <c r="C348" t="e">
        <f t="shared" ca="1" si="30"/>
        <v>#N/A</v>
      </c>
      <c r="D348" t="e">
        <f t="shared" ca="1" si="31"/>
        <v>#N/A</v>
      </c>
      <c r="E348" t="e">
        <f t="shared" ca="1" si="32"/>
        <v>#N/A</v>
      </c>
      <c r="F348" s="6" t="e">
        <f t="shared" ca="1" si="33"/>
        <v>#N/A</v>
      </c>
      <c r="G348" t="e">
        <f t="shared" ca="1" si="34"/>
        <v>#N/A</v>
      </c>
      <c r="H348" t="e">
        <f t="shared" ca="1" si="35"/>
        <v>#N/A</v>
      </c>
    </row>
    <row r="349" spans="1:8" x14ac:dyDescent="0.2">
      <c r="A349" s="6">
        <v>347</v>
      </c>
      <c r="B349" t="e">
        <f>MATCH($A349,part!$A$1:$A$2001,0)</f>
        <v>#N/A</v>
      </c>
      <c r="C349" t="e">
        <f t="shared" ca="1" si="30"/>
        <v>#N/A</v>
      </c>
      <c r="D349" t="e">
        <f t="shared" ca="1" si="31"/>
        <v>#N/A</v>
      </c>
      <c r="E349" t="e">
        <f t="shared" ca="1" si="32"/>
        <v>#N/A</v>
      </c>
      <c r="F349" s="6" t="e">
        <f t="shared" ca="1" si="33"/>
        <v>#N/A</v>
      </c>
      <c r="G349" t="e">
        <f t="shared" ca="1" si="34"/>
        <v>#N/A</v>
      </c>
      <c r="H349" t="e">
        <f t="shared" ca="1" si="35"/>
        <v>#N/A</v>
      </c>
    </row>
    <row r="350" spans="1:8" x14ac:dyDescent="0.2">
      <c r="A350" s="6">
        <v>348</v>
      </c>
      <c r="B350" t="e">
        <f>MATCH($A350,part!$A$1:$A$2001,0)</f>
        <v>#N/A</v>
      </c>
      <c r="C350" t="e">
        <f t="shared" ca="1" si="30"/>
        <v>#N/A</v>
      </c>
      <c r="D350" t="e">
        <f t="shared" ca="1" si="31"/>
        <v>#N/A</v>
      </c>
      <c r="E350" t="e">
        <f t="shared" ca="1" si="32"/>
        <v>#N/A</v>
      </c>
      <c r="F350" s="6" t="e">
        <f t="shared" ca="1" si="33"/>
        <v>#N/A</v>
      </c>
      <c r="G350" t="e">
        <f t="shared" ca="1" si="34"/>
        <v>#N/A</v>
      </c>
      <c r="H350" t="e">
        <f t="shared" ca="1" si="35"/>
        <v>#N/A</v>
      </c>
    </row>
  </sheetData>
  <sortState ref="A2:H350">
    <sortCondition ref="A2:A350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sat</vt:lpstr>
      <vt:lpstr>gs</vt:lpstr>
      <vt:lpstr>part</vt:lpstr>
      <vt:lpstr>comp</vt:lpstr>
      <vt:lpstr>bus</vt:lpstr>
      <vt:lpstr>batt</vt:lpstr>
      <vt:lpstr>cpu</vt:lpstr>
      <vt:lpstr>gps</vt:lpstr>
      <vt:lpstr>imu</vt:lpstr>
      <vt:lpstr>mtr</vt:lpstr>
      <vt:lpstr>pload</vt:lpstr>
      <vt:lpstr>rw</vt:lpstr>
      <vt:lpstr>ssen</vt:lpstr>
      <vt:lpstr>strg</vt:lpstr>
      <vt:lpstr>tsen</vt:lpstr>
      <vt:lpstr>motr</vt:lpstr>
      <vt:lpstr>swch</vt:lpstr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Pilger</dc:creator>
  <cp:lastModifiedBy>Eric Pilger</cp:lastModifiedBy>
  <cp:revision>0</cp:revision>
  <dcterms:created xsi:type="dcterms:W3CDTF">2012-01-19T18:42:06Z</dcterms:created>
  <dcterms:modified xsi:type="dcterms:W3CDTF">2012-04-27T19:13:42Z</dcterms:modified>
</cp:coreProperties>
</file>